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15480" windowHeight="7875" tabRatio="806" firstSheet="30" activeTab="36"/>
  </bookViews>
  <sheets>
    <sheet name="дц 63" sheetId="1" r:id="rId1"/>
    <sheet name="дц 68 " sheetId="24" r:id="rId2"/>
    <sheet name="дц 68" sheetId="7" state="hidden" r:id="rId3"/>
    <sheet name="дц 73" sheetId="9" state="hidden" r:id="rId4"/>
    <sheet name="дц 73  " sheetId="25" r:id="rId5"/>
    <sheet name="дц 78" sheetId="10" state="hidden" r:id="rId6"/>
    <sheet name="дц 78   " sheetId="26" r:id="rId7"/>
    <sheet name="дц 85" sheetId="11" state="hidden" r:id="rId8"/>
    <sheet name="дц 85    " sheetId="27" r:id="rId9"/>
    <sheet name="дц 95" sheetId="12" state="hidden" r:id="rId10"/>
    <sheet name="дц 95    " sheetId="28" r:id="rId11"/>
    <sheet name="дц +95" sheetId="13" state="hidden" r:id="rId12"/>
    <sheet name="дц +95 " sheetId="29" r:id="rId13"/>
    <sheet name="р 58" sheetId="2" state="hidden" r:id="rId14"/>
    <sheet name="р  58" sheetId="30" r:id="rId15"/>
    <sheet name="р 63" sheetId="14" state="hidden" r:id="rId16"/>
    <sheet name="р  63 " sheetId="31" r:id="rId17"/>
    <sheet name="р 68" sheetId="15" state="hidden" r:id="rId18"/>
    <sheet name="р  68  " sheetId="32" r:id="rId19"/>
    <sheet name="р +68" sheetId="16" state="hidden" r:id="rId20"/>
    <sheet name="р  +68   " sheetId="33" r:id="rId21"/>
    <sheet name="эст ДЦ " sheetId="3" r:id="rId22"/>
    <sheet name="дв 63" sheetId="4" state="hidden" r:id="rId23"/>
    <sheet name="дв 68" sheetId="17" state="hidden" r:id="rId24"/>
    <sheet name="дв  63" sheetId="45" r:id="rId25"/>
    <sheet name="дв 73" sheetId="18" state="hidden" r:id="rId26"/>
    <sheet name="дв 78" sheetId="19" state="hidden" r:id="rId27"/>
    <sheet name="дв 85" sheetId="20" state="hidden" r:id="rId28"/>
    <sheet name="дв  68   " sheetId="46" r:id="rId29"/>
    <sheet name="дв  73    " sheetId="47" r:id="rId30"/>
    <sheet name="дв  78    " sheetId="48" r:id="rId31"/>
    <sheet name="дв  85   " sheetId="49" r:id="rId32"/>
    <sheet name="дв  95   " sheetId="50" r:id="rId33"/>
    <sheet name="дв  +95   " sheetId="44" r:id="rId34"/>
    <sheet name="эстафета ДВ" sheetId="5" r:id="rId35"/>
    <sheet name="команда " sheetId="6" r:id="rId36"/>
    <sheet name="Судьи" sheetId="52" r:id="rId37"/>
  </sheets>
  <definedNames>
    <definedName name="_16Excel_BuiltIn_Print_Area_2" localSheetId="35">#REF!</definedName>
    <definedName name="_17Excel_BuiltIn_Print_Area_2" localSheetId="19">#REF!</definedName>
    <definedName name="_17Excel_BuiltIn_Print_Area_2" localSheetId="13">#REF!</definedName>
    <definedName name="_17Excel_BuiltIn_Print_Area_2" localSheetId="15">#REF!</definedName>
    <definedName name="_17Excel_BuiltIn_Print_Area_2" localSheetId="17">#REF!</definedName>
    <definedName name="_22Excel_BuiltIn_Print_Area_2" localSheetId="34">#REF!</definedName>
    <definedName name="_23Excel_BuiltIn_Print_Area_2" localSheetId="21">#REF!</definedName>
    <definedName name="_24Excel_BuiltIn_Print_Area_2" localSheetId="33">#REF!</definedName>
    <definedName name="_24Excel_BuiltIn_Print_Area_2" localSheetId="24">#REF!</definedName>
    <definedName name="_24Excel_BuiltIn_Print_Area_2" localSheetId="28">#REF!</definedName>
    <definedName name="_24Excel_BuiltIn_Print_Area_2" localSheetId="29">#REF!</definedName>
    <definedName name="_24Excel_BuiltIn_Print_Area_2" localSheetId="30">#REF!</definedName>
    <definedName name="_24Excel_BuiltIn_Print_Area_2" localSheetId="31">#REF!</definedName>
    <definedName name="_24Excel_BuiltIn_Print_Area_2" localSheetId="32">#REF!</definedName>
    <definedName name="_24Excel_BuiltIn_Print_Area_2" localSheetId="23">#REF!</definedName>
    <definedName name="_24Excel_BuiltIn_Print_Area_2" localSheetId="25">#REF!</definedName>
    <definedName name="_24Excel_BuiltIn_Print_Area_2" localSheetId="26">#REF!</definedName>
    <definedName name="_24Excel_BuiltIn_Print_Area_2" localSheetId="27">#REF!</definedName>
    <definedName name="_24Excel_BuiltIn_Print_Area_2" localSheetId="11">#REF!</definedName>
    <definedName name="_24Excel_BuiltIn_Print_Area_2" localSheetId="12">#REF!</definedName>
    <definedName name="_24Excel_BuiltIn_Print_Area_2" localSheetId="2">#REF!</definedName>
    <definedName name="_24Excel_BuiltIn_Print_Area_2" localSheetId="1">#REF!</definedName>
    <definedName name="_24Excel_BuiltIn_Print_Area_2" localSheetId="3">#REF!</definedName>
    <definedName name="_24Excel_BuiltIn_Print_Area_2" localSheetId="4">#REF!</definedName>
    <definedName name="_24Excel_BuiltIn_Print_Area_2" localSheetId="5">#REF!</definedName>
    <definedName name="_24Excel_BuiltIn_Print_Area_2" localSheetId="6">#REF!</definedName>
    <definedName name="_24Excel_BuiltIn_Print_Area_2" localSheetId="7">#REF!</definedName>
    <definedName name="_24Excel_BuiltIn_Print_Area_2" localSheetId="8">#REF!</definedName>
    <definedName name="_24Excel_BuiltIn_Print_Area_2" localSheetId="9">#REF!</definedName>
    <definedName name="_24Excel_BuiltIn_Print_Area_2" localSheetId="10">#REF!</definedName>
    <definedName name="_24Excel_BuiltIn_Print_Area_2" localSheetId="20">#REF!</definedName>
    <definedName name="_24Excel_BuiltIn_Print_Area_2" localSheetId="14">#REF!</definedName>
    <definedName name="_24Excel_BuiltIn_Print_Area_2" localSheetId="16">#REF!</definedName>
    <definedName name="_24Excel_BuiltIn_Print_Area_2" localSheetId="18">#REF!</definedName>
    <definedName name="_24Excel_BuiltIn_Print_Area_2" localSheetId="19">#REF!</definedName>
    <definedName name="_24Excel_BuiltIn_Print_Area_2" localSheetId="15">#REF!</definedName>
    <definedName name="_24Excel_BuiltIn_Print_Area_2" localSheetId="17">#REF!</definedName>
    <definedName name="_24Excel_BuiltIn_Print_Area_2" localSheetId="36">#REF!</definedName>
    <definedName name="_24Excel_BuiltIn_Print_Area_2">#REF!</definedName>
    <definedName name="_26Excel_BuiltIn_Print_Area_3" localSheetId="22">#REF!</definedName>
    <definedName name="_26Excel_BuiltIn_Print_Area_3" localSheetId="23">#REF!</definedName>
    <definedName name="_26Excel_BuiltIn_Print_Area_3" localSheetId="25">#REF!</definedName>
    <definedName name="_26Excel_BuiltIn_Print_Area_3" localSheetId="26">#REF!</definedName>
    <definedName name="_26Excel_BuiltIn_Print_Area_3" localSheetId="27">#REF!</definedName>
    <definedName name="_2Excel_BuiltIn_Print_Area_2" localSheetId="22">#REF!</definedName>
    <definedName name="_2Excel_BuiltIn_Print_Area_2" localSheetId="23">#REF!</definedName>
    <definedName name="_2Excel_BuiltIn_Print_Area_2" localSheetId="25">#REF!</definedName>
    <definedName name="_2Excel_BuiltIn_Print_Area_2" localSheetId="26">#REF!</definedName>
    <definedName name="_2Excel_BuiltIn_Print_Area_2" localSheetId="27">#REF!</definedName>
    <definedName name="_33Excel_BuiltIn_Print_Area_3" localSheetId="33">#REF!</definedName>
    <definedName name="_33Excel_BuiltIn_Print_Area_3" localSheetId="24">#REF!</definedName>
    <definedName name="_33Excel_BuiltIn_Print_Area_3" localSheetId="28">#REF!</definedName>
    <definedName name="_33Excel_BuiltIn_Print_Area_3" localSheetId="29">#REF!</definedName>
    <definedName name="_33Excel_BuiltIn_Print_Area_3" localSheetId="30">#REF!</definedName>
    <definedName name="_33Excel_BuiltIn_Print_Area_3" localSheetId="31">#REF!</definedName>
    <definedName name="_33Excel_BuiltIn_Print_Area_3" localSheetId="32">#REF!</definedName>
    <definedName name="_33Excel_BuiltIn_Print_Area_3" localSheetId="11">#REF!</definedName>
    <definedName name="_33Excel_BuiltIn_Print_Area_3" localSheetId="12">#REF!</definedName>
    <definedName name="_33Excel_BuiltIn_Print_Area_3" localSheetId="0">#REF!</definedName>
    <definedName name="_33Excel_BuiltIn_Print_Area_3" localSheetId="2">#REF!</definedName>
    <definedName name="_33Excel_BuiltIn_Print_Area_3" localSheetId="1">#REF!</definedName>
    <definedName name="_33Excel_BuiltIn_Print_Area_3" localSheetId="3">#REF!</definedName>
    <definedName name="_33Excel_BuiltIn_Print_Area_3" localSheetId="4">#REF!</definedName>
    <definedName name="_33Excel_BuiltIn_Print_Area_3" localSheetId="5">#REF!</definedName>
    <definedName name="_33Excel_BuiltIn_Print_Area_3" localSheetId="6">#REF!</definedName>
    <definedName name="_33Excel_BuiltIn_Print_Area_3" localSheetId="7">#REF!</definedName>
    <definedName name="_33Excel_BuiltIn_Print_Area_3" localSheetId="8">#REF!</definedName>
    <definedName name="_33Excel_BuiltIn_Print_Area_3" localSheetId="9">#REF!</definedName>
    <definedName name="_33Excel_BuiltIn_Print_Area_3" localSheetId="10">#REF!</definedName>
    <definedName name="_33Excel_BuiltIn_Print_Area_3" localSheetId="20">#REF!</definedName>
    <definedName name="_33Excel_BuiltIn_Print_Area_3" localSheetId="14">#REF!</definedName>
    <definedName name="_33Excel_BuiltIn_Print_Area_3" localSheetId="16">#REF!</definedName>
    <definedName name="_33Excel_BuiltIn_Print_Area_3" localSheetId="18">#REF!</definedName>
    <definedName name="_40Excel_BuiltIn_Print_Area_3" localSheetId="35">#REF!</definedName>
    <definedName name="_41Excel_BuiltIn_Print_Area_3" localSheetId="19">#REF!</definedName>
    <definedName name="_41Excel_BuiltIn_Print_Area_3" localSheetId="13">#REF!</definedName>
    <definedName name="_41Excel_BuiltIn_Print_Area_3" localSheetId="15">#REF!</definedName>
    <definedName name="_41Excel_BuiltIn_Print_Area_3" localSheetId="17">#REF!</definedName>
    <definedName name="_46Excel_BuiltIn_Print_Area_3" localSheetId="34">#REF!</definedName>
    <definedName name="_47Excel_BuiltIn_Print_Area_3" localSheetId="21">#REF!</definedName>
    <definedName name="_48Excel_BuiltIn_Print_Area_3" localSheetId="33">#REF!</definedName>
    <definedName name="_48Excel_BuiltIn_Print_Area_3" localSheetId="24">#REF!</definedName>
    <definedName name="_48Excel_BuiltIn_Print_Area_3" localSheetId="28">#REF!</definedName>
    <definedName name="_48Excel_BuiltIn_Print_Area_3" localSheetId="29">#REF!</definedName>
    <definedName name="_48Excel_BuiltIn_Print_Area_3" localSheetId="30">#REF!</definedName>
    <definedName name="_48Excel_BuiltIn_Print_Area_3" localSheetId="31">#REF!</definedName>
    <definedName name="_48Excel_BuiltIn_Print_Area_3" localSheetId="32">#REF!</definedName>
    <definedName name="_48Excel_BuiltIn_Print_Area_3" localSheetId="23">#REF!</definedName>
    <definedName name="_48Excel_BuiltIn_Print_Area_3" localSheetId="25">#REF!</definedName>
    <definedName name="_48Excel_BuiltIn_Print_Area_3" localSheetId="26">#REF!</definedName>
    <definedName name="_48Excel_BuiltIn_Print_Area_3" localSheetId="27">#REF!</definedName>
    <definedName name="_48Excel_BuiltIn_Print_Area_3" localSheetId="11">#REF!</definedName>
    <definedName name="_48Excel_BuiltIn_Print_Area_3" localSheetId="12">#REF!</definedName>
    <definedName name="_48Excel_BuiltIn_Print_Area_3" localSheetId="2">#REF!</definedName>
    <definedName name="_48Excel_BuiltIn_Print_Area_3" localSheetId="1">#REF!</definedName>
    <definedName name="_48Excel_BuiltIn_Print_Area_3" localSheetId="3">#REF!</definedName>
    <definedName name="_48Excel_BuiltIn_Print_Area_3" localSheetId="4">#REF!</definedName>
    <definedName name="_48Excel_BuiltIn_Print_Area_3" localSheetId="5">#REF!</definedName>
    <definedName name="_48Excel_BuiltIn_Print_Area_3" localSheetId="6">#REF!</definedName>
    <definedName name="_48Excel_BuiltIn_Print_Area_3" localSheetId="7">#REF!</definedName>
    <definedName name="_48Excel_BuiltIn_Print_Area_3" localSheetId="8">#REF!</definedName>
    <definedName name="_48Excel_BuiltIn_Print_Area_3" localSheetId="9">#REF!</definedName>
    <definedName name="_48Excel_BuiltIn_Print_Area_3" localSheetId="10">#REF!</definedName>
    <definedName name="_48Excel_BuiltIn_Print_Area_3" localSheetId="20">#REF!</definedName>
    <definedName name="_48Excel_BuiltIn_Print_Area_3" localSheetId="14">#REF!</definedName>
    <definedName name="_48Excel_BuiltIn_Print_Area_3" localSheetId="16">#REF!</definedName>
    <definedName name="_48Excel_BuiltIn_Print_Area_3" localSheetId="18">#REF!</definedName>
    <definedName name="_48Excel_BuiltIn_Print_Area_3" localSheetId="19">#REF!</definedName>
    <definedName name="_48Excel_BuiltIn_Print_Area_3" localSheetId="15">#REF!</definedName>
    <definedName name="_48Excel_BuiltIn_Print_Area_3" localSheetId="17">#REF!</definedName>
    <definedName name="_48Excel_BuiltIn_Print_Area_3" localSheetId="36">#REF!</definedName>
    <definedName name="_48Excel_BuiltIn_Print_Area_3">#REF!</definedName>
    <definedName name="_9Excel_BuiltIn_Print_Area_2" localSheetId="33">#REF!</definedName>
    <definedName name="_9Excel_BuiltIn_Print_Area_2" localSheetId="24">#REF!</definedName>
    <definedName name="_9Excel_BuiltIn_Print_Area_2" localSheetId="28">#REF!</definedName>
    <definedName name="_9Excel_BuiltIn_Print_Area_2" localSheetId="29">#REF!</definedName>
    <definedName name="_9Excel_BuiltIn_Print_Area_2" localSheetId="30">#REF!</definedName>
    <definedName name="_9Excel_BuiltIn_Print_Area_2" localSheetId="31">#REF!</definedName>
    <definedName name="_9Excel_BuiltIn_Print_Area_2" localSheetId="32">#REF!</definedName>
    <definedName name="_9Excel_BuiltIn_Print_Area_2" localSheetId="11">#REF!</definedName>
    <definedName name="_9Excel_BuiltIn_Print_Area_2" localSheetId="12">#REF!</definedName>
    <definedName name="_9Excel_BuiltIn_Print_Area_2" localSheetId="0">#REF!</definedName>
    <definedName name="_9Excel_BuiltIn_Print_Area_2" localSheetId="2">#REF!</definedName>
    <definedName name="_9Excel_BuiltIn_Print_Area_2" localSheetId="1">#REF!</definedName>
    <definedName name="_9Excel_BuiltIn_Print_Area_2" localSheetId="3">#REF!</definedName>
    <definedName name="_9Excel_BuiltIn_Print_Area_2" localSheetId="4">#REF!</definedName>
    <definedName name="_9Excel_BuiltIn_Print_Area_2" localSheetId="5">#REF!</definedName>
    <definedName name="_9Excel_BuiltIn_Print_Area_2" localSheetId="6">#REF!</definedName>
    <definedName name="_9Excel_BuiltIn_Print_Area_2" localSheetId="7">#REF!</definedName>
    <definedName name="_9Excel_BuiltIn_Print_Area_2" localSheetId="8">#REF!</definedName>
    <definedName name="_9Excel_BuiltIn_Print_Area_2" localSheetId="9">#REF!</definedName>
    <definedName name="_9Excel_BuiltIn_Print_Area_2" localSheetId="10">#REF!</definedName>
    <definedName name="_9Excel_BuiltIn_Print_Area_2" localSheetId="20">#REF!</definedName>
    <definedName name="_9Excel_BuiltIn_Print_Area_2" localSheetId="14">#REF!</definedName>
    <definedName name="_9Excel_BuiltIn_Print_Area_2" localSheetId="16">#REF!</definedName>
    <definedName name="_9Excel_BuiltIn_Print_Area_2" localSheetId="18">#REF!</definedName>
    <definedName name="_xlnm._FilterDatabase" localSheetId="33" hidden="1">'дв  +95   '!$A$16:$S$17</definedName>
    <definedName name="_xlnm._FilterDatabase" localSheetId="24" hidden="1">'дв  63'!$A$16:$S$17</definedName>
    <definedName name="_xlnm._FilterDatabase" localSheetId="28" hidden="1">'дв  68   '!$A$16:$S$17</definedName>
    <definedName name="_xlnm._FilterDatabase" localSheetId="29" hidden="1">'дв  73    '!$A$16:$S$17</definedName>
    <definedName name="_xlnm._FilterDatabase" localSheetId="30" hidden="1">'дв  78    '!$A$16:$S$17</definedName>
    <definedName name="_xlnm._FilterDatabase" localSheetId="31" hidden="1">'дв  85   '!$A$16:$S$17</definedName>
    <definedName name="_xlnm._FilterDatabase" localSheetId="32" hidden="1">'дв  95   '!$A$16:$S$17</definedName>
    <definedName name="_xlnm._FilterDatabase" localSheetId="11" hidden="1">'дц +95'!$B$16:$N$24</definedName>
    <definedName name="_xlnm._FilterDatabase" localSheetId="12" hidden="1">'дц +95 '!$B$24:$N$26</definedName>
    <definedName name="_xlnm._FilterDatabase" localSheetId="0" hidden="1">'дц 63'!$B$22:$N$25</definedName>
    <definedName name="_xlnm._FilterDatabase" localSheetId="2" hidden="1">'дц 68'!$B$17:$N$24</definedName>
    <definedName name="_xlnm._FilterDatabase" localSheetId="1" hidden="1">'дц 68 '!$A$16:$N$29</definedName>
    <definedName name="_xlnm._FilterDatabase" localSheetId="3" hidden="1">'дц 73'!$B$16:$N$27</definedName>
    <definedName name="_xlnm._FilterDatabase" localSheetId="4" hidden="1">'дц 73  '!$B$18:$N$27</definedName>
    <definedName name="_xlnm._FilterDatabase" localSheetId="5" hidden="1">'дц 78'!$B$17:$N$28</definedName>
    <definedName name="_xlnm._FilterDatabase" localSheetId="6" hidden="1">'дц 78   '!$B$18:$N$30</definedName>
    <definedName name="_xlnm._FilterDatabase" localSheetId="7" hidden="1">'дц 85'!$B$17:$N$28</definedName>
    <definedName name="_xlnm._FilterDatabase" localSheetId="8" hidden="1">'дц 85    '!$B$18:$N$28</definedName>
    <definedName name="_xlnm._FilterDatabase" localSheetId="9" hidden="1">'дц 95'!$B$16:$N$26</definedName>
    <definedName name="_xlnm._FilterDatabase" localSheetId="10" hidden="1">'дц 95    '!$B$18:$N$28</definedName>
    <definedName name="_xlnm._FilterDatabase" localSheetId="35" hidden="1">'команда '!$A$9:$AN$54</definedName>
    <definedName name="_xlnm._FilterDatabase" localSheetId="20" hidden="1">'р  +68   '!$A$16:$N$28</definedName>
    <definedName name="_xlnm._FilterDatabase" localSheetId="14" hidden="1">'р  58'!$B$18:$N$23</definedName>
    <definedName name="_xlnm._FilterDatabase" localSheetId="16" hidden="1">'р  63 '!$B$18:$N$27</definedName>
    <definedName name="_xlnm._FilterDatabase" localSheetId="18" hidden="1">'р  68  '!$B$18:$N$22</definedName>
    <definedName name="rtet" localSheetId="33">#REF!</definedName>
    <definedName name="rtet" localSheetId="24">#REF!</definedName>
    <definedName name="rtet" localSheetId="28">#REF!</definedName>
    <definedName name="rtet" localSheetId="29">#REF!</definedName>
    <definedName name="rtet" localSheetId="30">#REF!</definedName>
    <definedName name="rtet" localSheetId="31">#REF!</definedName>
    <definedName name="rtet" localSheetId="32">#REF!</definedName>
    <definedName name="rtet" localSheetId="12">#REF!</definedName>
    <definedName name="rtet" localSheetId="6">#REF!</definedName>
    <definedName name="rtet" localSheetId="8">#REF!</definedName>
    <definedName name="rtet" localSheetId="10">#REF!</definedName>
    <definedName name="rtet" localSheetId="20">#REF!</definedName>
    <definedName name="rtet" localSheetId="14">#REF!</definedName>
    <definedName name="rtet" localSheetId="16">#REF!</definedName>
    <definedName name="rtet" localSheetId="18">#REF!</definedName>
    <definedName name="rtet" localSheetId="36">#REF!</definedName>
    <definedName name="rtet">#REF!</definedName>
    <definedName name="й" localSheetId="33">#REF!</definedName>
    <definedName name="й" localSheetId="24">#REF!</definedName>
    <definedName name="й" localSheetId="28">#REF!</definedName>
    <definedName name="й" localSheetId="29">#REF!</definedName>
    <definedName name="й" localSheetId="30">#REF!</definedName>
    <definedName name="й" localSheetId="31">#REF!</definedName>
    <definedName name="й" localSheetId="32">#REF!</definedName>
    <definedName name="й" localSheetId="23">#REF!</definedName>
    <definedName name="й" localSheetId="25">#REF!</definedName>
    <definedName name="й" localSheetId="26">#REF!</definedName>
    <definedName name="й" localSheetId="27">#REF!</definedName>
    <definedName name="й" localSheetId="11">#REF!</definedName>
    <definedName name="й" localSheetId="12">#REF!</definedName>
    <definedName name="й" localSheetId="1">#REF!</definedName>
    <definedName name="й" localSheetId="3">#REF!</definedName>
    <definedName name="й" localSheetId="4">#REF!</definedName>
    <definedName name="й" localSheetId="5">#REF!</definedName>
    <definedName name="й" localSheetId="6">#REF!</definedName>
    <definedName name="й" localSheetId="7">#REF!</definedName>
    <definedName name="й" localSheetId="8">#REF!</definedName>
    <definedName name="й" localSheetId="9">#REF!</definedName>
    <definedName name="й" localSheetId="10">#REF!</definedName>
    <definedName name="й" localSheetId="20">#REF!</definedName>
    <definedName name="й" localSheetId="14">#REF!</definedName>
    <definedName name="й" localSheetId="16">#REF!</definedName>
    <definedName name="й" localSheetId="18">#REF!</definedName>
    <definedName name="й" localSheetId="19">#REF!</definedName>
    <definedName name="й" localSheetId="15">#REF!</definedName>
    <definedName name="й" localSheetId="17">#REF!</definedName>
    <definedName name="й" localSheetId="36">#REF!</definedName>
    <definedName name="й">#REF!</definedName>
    <definedName name="_xlnm.Print_Area" localSheetId="33">'дв  +95   '!$A$1:$S$29</definedName>
    <definedName name="_xlnm.Print_Area" localSheetId="24">'дв  63'!$A$1:$S$32</definedName>
    <definedName name="_xlnm.Print_Area" localSheetId="28">'дв  68   '!$A$1:$S$31</definedName>
    <definedName name="_xlnm.Print_Area" localSheetId="29">'дв  73    '!$A$1:$S$30</definedName>
    <definedName name="_xlnm.Print_Area" localSheetId="31">'дв  85   '!$A$1:$S$33</definedName>
    <definedName name="_xlnm.Print_Area" localSheetId="32">'дв  95   '!$A$1:$S$31</definedName>
    <definedName name="_xlnm.Print_Area" localSheetId="22">'дв 63'!$A$1:$R$29</definedName>
    <definedName name="_xlnm.Print_Area" localSheetId="23">'дв 68'!$A$1:$R$30</definedName>
    <definedName name="_xlnm.Print_Area" localSheetId="25">'дв 73'!$A$1:$R$32</definedName>
    <definedName name="_xlnm.Print_Area" localSheetId="26">'дв 78'!$A$1:$R$33</definedName>
    <definedName name="_xlnm.Print_Area" localSheetId="27">'дв 85'!$A$1:$R$34</definedName>
    <definedName name="_xlnm.Print_Area" localSheetId="11">'дц +95'!$A$1:$N$29</definedName>
    <definedName name="_xlnm.Print_Area" localSheetId="12">'дц +95 '!$A$1:$N$30</definedName>
    <definedName name="_xlnm.Print_Area" localSheetId="0">'дц 63'!$A$1:$N$31</definedName>
    <definedName name="_xlnm.Print_Area" localSheetId="2">'дц 68'!$A$1:$N$29</definedName>
    <definedName name="_xlnm.Print_Area" localSheetId="1">'дц 68 '!$A$1:$N$33</definedName>
    <definedName name="_xlnm.Print_Area" localSheetId="3">'дц 73'!$A$1:$N$31</definedName>
    <definedName name="_xlnm.Print_Area" localSheetId="4">'дц 73  '!$A$1:$N$31</definedName>
    <definedName name="_xlnm.Print_Area" localSheetId="5">'дц 78'!$A$1:$N$34</definedName>
    <definedName name="_xlnm.Print_Area" localSheetId="6">'дц 78   '!$A$1:$N$36</definedName>
    <definedName name="_xlnm.Print_Area" localSheetId="7">'дц 85'!$A$1:$N$33</definedName>
    <definedName name="_xlnm.Print_Area" localSheetId="8">'дц 85    '!$A$1:$N$32</definedName>
    <definedName name="_xlnm.Print_Area" localSheetId="9">'дц 95'!$A$1:$N$30</definedName>
    <definedName name="_xlnm.Print_Area" localSheetId="10">'дц 95    '!$A$1:$N$32</definedName>
    <definedName name="_xlnm.Print_Area" localSheetId="35">'команда '!$A$1:$AN$88</definedName>
    <definedName name="_xlnm.Print_Area" localSheetId="20">'р  +68   '!$A$1:$N$34</definedName>
    <definedName name="_xlnm.Print_Area" localSheetId="14">'р  58'!$A$1:$N$31</definedName>
    <definedName name="_xlnm.Print_Area" localSheetId="16">'р  63 '!$A$1:$N$31</definedName>
    <definedName name="_xlnm.Print_Area" localSheetId="18">'р  68  '!$A$1:$N$26</definedName>
    <definedName name="_xlnm.Print_Area" localSheetId="19">'р +68'!$A$1:$N$36</definedName>
    <definedName name="_xlnm.Print_Area" localSheetId="13">'р 58'!$A$1:$N$30</definedName>
    <definedName name="_xlnm.Print_Area" localSheetId="15">'р 63'!$A$1:$N$29</definedName>
    <definedName name="_xlnm.Print_Area" localSheetId="17">'р 68'!$A$1:$N$32</definedName>
    <definedName name="_xlnm.Print_Area" localSheetId="36">Судьи!$A:$G</definedName>
    <definedName name="_xlnm.Print_Area" localSheetId="21">'эст ДЦ '!$A$1:$I$54</definedName>
    <definedName name="_xlnm.Print_Area" localSheetId="34">'эстафета ДВ'!$A:$I</definedName>
    <definedName name="п" localSheetId="36">#REF!</definedName>
    <definedName name="п">#REF!</definedName>
    <definedName name="прт" localSheetId="36">#REF!</definedName>
    <definedName name="прт">#REF!</definedName>
    <definedName name="уу" localSheetId="33">#REF!</definedName>
    <definedName name="уу" localSheetId="24">#REF!</definedName>
    <definedName name="уу" localSheetId="28">#REF!</definedName>
    <definedName name="уу" localSheetId="29">#REF!</definedName>
    <definedName name="уу" localSheetId="30">#REF!</definedName>
    <definedName name="уу" localSheetId="31">#REF!</definedName>
    <definedName name="уу" localSheetId="32">#REF!</definedName>
    <definedName name="уу" localSheetId="23">#REF!</definedName>
    <definedName name="уу" localSheetId="25">#REF!</definedName>
    <definedName name="уу" localSheetId="26">#REF!</definedName>
    <definedName name="уу" localSheetId="27">#REF!</definedName>
    <definedName name="уу" localSheetId="11">#REF!</definedName>
    <definedName name="уу" localSheetId="12">#REF!</definedName>
    <definedName name="уу" localSheetId="2">#REF!</definedName>
    <definedName name="уу" localSheetId="1">#REF!</definedName>
    <definedName name="уу" localSheetId="3">#REF!</definedName>
    <definedName name="уу" localSheetId="4">#REF!</definedName>
    <definedName name="уу" localSheetId="5">#REF!</definedName>
    <definedName name="уу" localSheetId="6">#REF!</definedName>
    <definedName name="уу" localSheetId="7">#REF!</definedName>
    <definedName name="уу" localSheetId="8">#REF!</definedName>
    <definedName name="уу" localSheetId="9">#REF!</definedName>
    <definedName name="уу" localSheetId="10">#REF!</definedName>
    <definedName name="уу" localSheetId="20">#REF!</definedName>
    <definedName name="уу" localSheetId="14">#REF!</definedName>
    <definedName name="уу" localSheetId="16">#REF!</definedName>
    <definedName name="уу" localSheetId="18">#REF!</definedName>
    <definedName name="уу" localSheetId="19">#REF!</definedName>
    <definedName name="уу" localSheetId="15">#REF!</definedName>
    <definedName name="уу" localSheetId="17">#REF!</definedName>
    <definedName name="уу" localSheetId="36">#REF!</definedName>
    <definedName name="уу">#REF!</definedName>
    <definedName name="ываывпып" localSheetId="33">#REF!</definedName>
    <definedName name="ываывпып" localSheetId="24">#REF!</definedName>
    <definedName name="ываывпып" localSheetId="28">#REF!</definedName>
    <definedName name="ываывпып" localSheetId="29">#REF!</definedName>
    <definedName name="ываывпып" localSheetId="30">#REF!</definedName>
    <definedName name="ываывпып" localSheetId="31">#REF!</definedName>
    <definedName name="ываывпып" localSheetId="32">#REF!</definedName>
    <definedName name="ываывпып" localSheetId="23">#REF!</definedName>
    <definedName name="ываывпып" localSheetId="25">#REF!</definedName>
    <definedName name="ываывпып" localSheetId="26">#REF!</definedName>
    <definedName name="ываывпып" localSheetId="27">#REF!</definedName>
    <definedName name="ываывпып" localSheetId="11">#REF!</definedName>
    <definedName name="ываывпып" localSheetId="12">#REF!</definedName>
    <definedName name="ываывпып" localSheetId="2">#REF!</definedName>
    <definedName name="ываывпып" localSheetId="1">#REF!</definedName>
    <definedName name="ываывпып" localSheetId="3">#REF!</definedName>
    <definedName name="ываывпып" localSheetId="4">#REF!</definedName>
    <definedName name="ываывпып" localSheetId="5">#REF!</definedName>
    <definedName name="ываывпып" localSheetId="6">#REF!</definedName>
    <definedName name="ываывпып" localSheetId="7">#REF!</definedName>
    <definedName name="ываывпып" localSheetId="8">#REF!</definedName>
    <definedName name="ываывпып" localSheetId="9">#REF!</definedName>
    <definedName name="ываывпып" localSheetId="10">#REF!</definedName>
    <definedName name="ываывпып" localSheetId="20">#REF!</definedName>
    <definedName name="ываывпып" localSheetId="14">#REF!</definedName>
    <definedName name="ываывпып" localSheetId="16">#REF!</definedName>
    <definedName name="ываывпып" localSheetId="18">#REF!</definedName>
    <definedName name="ываывпып" localSheetId="19">#REF!</definedName>
    <definedName name="ываывпып" localSheetId="15">#REF!</definedName>
    <definedName name="ываывпып" localSheetId="17">#REF!</definedName>
    <definedName name="ываывпып" localSheetId="36">#REF!</definedName>
    <definedName name="ываывпып">#REF!</definedName>
    <definedName name="Эст" localSheetId="33">#REF!</definedName>
    <definedName name="Эст" localSheetId="24">#REF!</definedName>
    <definedName name="Эст" localSheetId="28">#REF!</definedName>
    <definedName name="Эст" localSheetId="29">#REF!</definedName>
    <definedName name="Эст" localSheetId="30">#REF!</definedName>
    <definedName name="Эст" localSheetId="31">#REF!</definedName>
    <definedName name="Эст" localSheetId="32">#REF!</definedName>
    <definedName name="Эст" localSheetId="23">#REF!</definedName>
    <definedName name="Эст" localSheetId="25">#REF!</definedName>
    <definedName name="Эст" localSheetId="26">#REF!</definedName>
    <definedName name="Эст" localSheetId="27">#REF!</definedName>
    <definedName name="Эст" localSheetId="11">#REF!</definedName>
    <definedName name="Эст" localSheetId="12">#REF!</definedName>
    <definedName name="Эст" localSheetId="2">#REF!</definedName>
    <definedName name="Эст" localSheetId="1">#REF!</definedName>
    <definedName name="Эст" localSheetId="3">#REF!</definedName>
    <definedName name="Эст" localSheetId="4">#REF!</definedName>
    <definedName name="Эст" localSheetId="5">#REF!</definedName>
    <definedName name="Эст" localSheetId="6">#REF!</definedName>
    <definedName name="Эст" localSheetId="7">#REF!</definedName>
    <definedName name="Эст" localSheetId="8">#REF!</definedName>
    <definedName name="Эст" localSheetId="9">#REF!</definedName>
    <definedName name="Эст" localSheetId="10">#REF!</definedName>
    <definedName name="Эст" localSheetId="20">#REF!</definedName>
    <definedName name="Эст" localSheetId="14">#REF!</definedName>
    <definedName name="Эст" localSheetId="16">#REF!</definedName>
    <definedName name="Эст" localSheetId="18">#REF!</definedName>
    <definedName name="Эст" localSheetId="19">#REF!</definedName>
    <definedName name="Эст" localSheetId="15">#REF!</definedName>
    <definedName name="Эст" localSheetId="17">#REF!</definedName>
    <definedName name="Эст" localSheetId="36">#REF!</definedName>
    <definedName name="Эст">#REF!</definedName>
  </definedNames>
  <calcPr calcId="145621"/>
</workbook>
</file>

<file path=xl/calcChain.xml><?xml version="1.0" encoding="utf-8"?>
<calcChain xmlns="http://schemas.openxmlformats.org/spreadsheetml/2006/main">
  <c r="AN15" i="6" l="1"/>
  <c r="AN16" i="6"/>
  <c r="AN19" i="6"/>
  <c r="AN18" i="6"/>
  <c r="AN22" i="6"/>
  <c r="AN17" i="6"/>
  <c r="AN20" i="6"/>
  <c r="AN27" i="6"/>
  <c r="AN28" i="6"/>
  <c r="AN21" i="6"/>
  <c r="AN31" i="6"/>
  <c r="AN36" i="6"/>
  <c r="AN37" i="6"/>
  <c r="AN38" i="6"/>
  <c r="AN26" i="6"/>
  <c r="AN33" i="6"/>
  <c r="AN39" i="6"/>
  <c r="AN42" i="6"/>
  <c r="AN32" i="6"/>
  <c r="AN25" i="6"/>
  <c r="AN29" i="6"/>
  <c r="AN30" i="6"/>
  <c r="AN34" i="6"/>
  <c r="AN24" i="6"/>
  <c r="AN40" i="6"/>
  <c r="AN23" i="6"/>
  <c r="AN43" i="6"/>
  <c r="AN41" i="6"/>
  <c r="AN35" i="6"/>
  <c r="AN44" i="6"/>
  <c r="AN45" i="6"/>
  <c r="AN46" i="6"/>
  <c r="AN47" i="6"/>
  <c r="AN48" i="6"/>
  <c r="AN49" i="6"/>
  <c r="AN50" i="6"/>
  <c r="AN51" i="6"/>
  <c r="AN52" i="6"/>
  <c r="AN53" i="6"/>
  <c r="AN54" i="6"/>
  <c r="AN12" i="6"/>
  <c r="AN13" i="6"/>
  <c r="AN14" i="6"/>
  <c r="AN11" i="6"/>
  <c r="L24" i="44"/>
  <c r="L19" i="44"/>
  <c r="L18" i="44"/>
  <c r="L20" i="44"/>
  <c r="L23" i="44"/>
  <c r="L21" i="44"/>
  <c r="L19" i="50"/>
  <c r="L18" i="50"/>
  <c r="L20" i="50"/>
  <c r="L21" i="50"/>
  <c r="L22" i="50"/>
  <c r="L24" i="50"/>
  <c r="L22" i="49"/>
  <c r="L18" i="49"/>
  <c r="L21" i="49"/>
  <c r="L23" i="49"/>
  <c r="F51" i="5" l="1"/>
  <c r="H46" i="5"/>
  <c r="H47" i="5" s="1"/>
  <c r="H48" i="5" s="1"/>
  <c r="H49" i="5" s="1"/>
  <c r="H50" i="5" s="1"/>
  <c r="H51" i="5" s="1"/>
  <c r="M22" i="44" l="1"/>
  <c r="O22" i="44" s="1"/>
  <c r="Q22" i="44" s="1"/>
  <c r="O21" i="44"/>
  <c r="Q21" i="44" s="1"/>
  <c r="O24" i="44"/>
  <c r="Q24" i="44" s="1"/>
  <c r="O18" i="44"/>
  <c r="Q18" i="44" s="1"/>
  <c r="O20" i="44"/>
  <c r="O23" i="44"/>
  <c r="Q23" i="44" s="1"/>
  <c r="M25" i="44"/>
  <c r="O25" i="44" s="1"/>
  <c r="O19" i="44"/>
  <c r="Q19" i="44" s="1"/>
  <c r="M23" i="50"/>
  <c r="O23" i="50" s="1"/>
  <c r="M26" i="50"/>
  <c r="O26" i="50" s="1"/>
  <c r="Q26" i="50" s="1"/>
  <c r="M27" i="50"/>
  <c r="O27" i="50" s="1"/>
  <c r="Q27" i="50" s="1"/>
  <c r="O24" i="50"/>
  <c r="Q24" i="50" s="1"/>
  <c r="O19" i="50"/>
  <c r="Q19" i="50" s="1"/>
  <c r="O18" i="50"/>
  <c r="Q18" i="50" s="1"/>
  <c r="O20" i="50"/>
  <c r="Q20" i="50" s="1"/>
  <c r="O21" i="50"/>
  <c r="Q21" i="50" s="1"/>
  <c r="O22" i="50"/>
  <c r="Q22" i="50" s="1"/>
  <c r="M25" i="50"/>
  <c r="O25" i="50" s="1"/>
  <c r="Q25" i="50" s="1"/>
  <c r="Q25" i="44" l="1"/>
  <c r="M20" i="49"/>
  <c r="O20" i="49" s="1"/>
  <c r="O23" i="49"/>
  <c r="Q23" i="49" s="1"/>
  <c r="O21" i="49"/>
  <c r="Q21" i="49" s="1"/>
  <c r="O18" i="49"/>
  <c r="Q18" i="49" s="1"/>
  <c r="O22" i="49"/>
  <c r="Q22" i="49" s="1"/>
  <c r="M29" i="49"/>
  <c r="O29" i="49" s="1"/>
  <c r="Q29" i="49" s="1"/>
  <c r="M28" i="49"/>
  <c r="O28" i="49" s="1"/>
  <c r="Q28" i="49" s="1"/>
  <c r="M19" i="49"/>
  <c r="O19" i="49" s="1"/>
  <c r="Q19" i="49" s="1"/>
  <c r="M25" i="49"/>
  <c r="O25" i="49" s="1"/>
  <c r="Q25" i="49" s="1"/>
  <c r="M24" i="49"/>
  <c r="O24" i="49" s="1"/>
  <c r="Q24" i="49" s="1"/>
  <c r="M27" i="49"/>
  <c r="O27" i="49" s="1"/>
  <c r="M24" i="48"/>
  <c r="O24" i="48" s="1"/>
  <c r="Q24" i="48" s="1"/>
  <c r="M21" i="48"/>
  <c r="O21" i="48" s="1"/>
  <c r="Q21" i="48" s="1"/>
  <c r="M18" i="48"/>
  <c r="O18" i="48" s="1"/>
  <c r="Q18" i="48" s="1"/>
  <c r="M19" i="48"/>
  <c r="O19" i="48" s="1"/>
  <c r="Q19" i="48" s="1"/>
  <c r="M20" i="48"/>
  <c r="O20" i="48" s="1"/>
  <c r="Q20" i="48" s="1"/>
  <c r="M23" i="48"/>
  <c r="O23" i="48" s="1"/>
  <c r="Q23" i="48" s="1"/>
  <c r="M26" i="48"/>
  <c r="O26" i="48" s="1"/>
  <c r="M27" i="48"/>
  <c r="O27" i="48" s="1"/>
  <c r="Q27" i="48" s="1"/>
  <c r="M31" i="48"/>
  <c r="O31" i="48" s="1"/>
  <c r="Q31" i="48" s="1"/>
  <c r="M25" i="48"/>
  <c r="O25" i="48" s="1"/>
  <c r="M29" i="48"/>
  <c r="O29" i="48" s="1"/>
  <c r="Q29" i="48" s="1"/>
  <c r="M30" i="48"/>
  <c r="O30" i="48" s="1"/>
  <c r="Q30" i="48" s="1"/>
  <c r="M28" i="48"/>
  <c r="O28" i="48" s="1"/>
  <c r="M22" i="48"/>
  <c r="O22" i="48" s="1"/>
  <c r="Q22" i="48" s="1"/>
  <c r="M23" i="47"/>
  <c r="O23" i="47" s="1"/>
  <c r="Q23" i="47" s="1"/>
  <c r="M19" i="47"/>
  <c r="O19" i="47" s="1"/>
  <c r="Q19" i="47" s="1"/>
  <c r="M20" i="47"/>
  <c r="O20" i="47" s="1"/>
  <c r="Q20" i="47" s="1"/>
  <c r="M18" i="47"/>
  <c r="O18" i="47" s="1"/>
  <c r="Q18" i="47" s="1"/>
  <c r="M21" i="47"/>
  <c r="O21" i="47" s="1"/>
  <c r="Q21" i="47" s="1"/>
  <c r="M22" i="47"/>
  <c r="O22" i="47" s="1"/>
  <c r="Q22" i="47" s="1"/>
  <c r="M26" i="47"/>
  <c r="O26" i="47" s="1"/>
  <c r="Q26" i="47" s="1"/>
  <c r="M25" i="47"/>
  <c r="O25" i="47" s="1"/>
  <c r="Q25" i="47" s="1"/>
  <c r="M24" i="47"/>
  <c r="O24" i="47" s="1"/>
  <c r="Q24" i="47" s="1"/>
  <c r="M23" i="46"/>
  <c r="O23" i="46" s="1"/>
  <c r="Q23" i="46" s="1"/>
  <c r="M18" i="46"/>
  <c r="O18" i="46" s="1"/>
  <c r="Q18" i="46" s="1"/>
  <c r="M19" i="46"/>
  <c r="O19" i="46" s="1"/>
  <c r="Q19" i="46" s="1"/>
  <c r="M20" i="46"/>
  <c r="O20" i="46" s="1"/>
  <c r="Q20" i="46" s="1"/>
  <c r="M21" i="46"/>
  <c r="O21" i="46" s="1"/>
  <c r="Q21" i="46" s="1"/>
  <c r="M22" i="46"/>
  <c r="O22" i="46" s="1"/>
  <c r="Q22" i="46" s="1"/>
  <c r="M24" i="46"/>
  <c r="O24" i="46" s="1"/>
  <c r="Q24" i="46" s="1"/>
  <c r="M27" i="46"/>
  <c r="O27" i="46" s="1"/>
  <c r="Q27" i="46" s="1"/>
  <c r="M26" i="46"/>
  <c r="O26" i="46" s="1"/>
  <c r="M25" i="46"/>
  <c r="O25" i="46" s="1"/>
  <c r="M22" i="45"/>
  <c r="O22" i="45" s="1"/>
  <c r="Q22" i="45" s="1"/>
  <c r="M21" i="45"/>
  <c r="O21" i="45" s="1"/>
  <c r="Q21" i="45" s="1"/>
  <c r="M18" i="45"/>
  <c r="O18" i="45" s="1"/>
  <c r="Q18" i="45" s="1"/>
  <c r="M19" i="45"/>
  <c r="O19" i="45" s="1"/>
  <c r="Q19" i="45" s="1"/>
  <c r="M20" i="45"/>
  <c r="O20" i="45" s="1"/>
  <c r="Q20" i="45" s="1"/>
  <c r="M26" i="45"/>
  <c r="O26" i="45" s="1"/>
  <c r="Q26" i="45" s="1"/>
  <c r="M23" i="45"/>
  <c r="O23" i="45" s="1"/>
  <c r="Q23" i="45" s="1"/>
  <c r="M24" i="45"/>
  <c r="O24" i="45" s="1"/>
  <c r="Q24" i="45" s="1"/>
  <c r="M25" i="45"/>
  <c r="O25" i="45" s="1"/>
  <c r="M27" i="45"/>
  <c r="O27" i="45" s="1"/>
  <c r="M28" i="45"/>
  <c r="O28" i="45" s="1"/>
  <c r="Q28" i="45" s="1"/>
  <c r="H21" i="3" l="1"/>
  <c r="H22" i="3" s="1"/>
  <c r="H23" i="3" s="1"/>
  <c r="H24" i="3" s="1"/>
  <c r="H25" i="3" s="1"/>
  <c r="H26" i="3" s="1"/>
  <c r="F26" i="3"/>
  <c r="F17" i="5" l="1"/>
  <c r="H12" i="5"/>
  <c r="H13" i="5" s="1"/>
  <c r="H14" i="5" s="1"/>
  <c r="H15" i="5" s="1"/>
  <c r="H16" i="5" s="1"/>
  <c r="H17" i="5" s="1"/>
  <c r="F34" i="5"/>
  <c r="H29" i="5"/>
  <c r="H30" i="5" s="1"/>
  <c r="H31" i="5" s="1"/>
  <c r="H32" i="5" s="1"/>
  <c r="H33" i="5" s="1"/>
  <c r="H34" i="5" s="1"/>
  <c r="H20" i="5"/>
  <c r="H21" i="5" s="1"/>
  <c r="H22" i="5" s="1"/>
  <c r="H23" i="5" s="1"/>
  <c r="H24" i="5" s="1"/>
  <c r="H25" i="5" s="1"/>
  <c r="F25" i="5"/>
  <c r="L23" i="20"/>
  <c r="N23" i="20" s="1"/>
  <c r="L31" i="20"/>
  <c r="N31" i="20" s="1"/>
  <c r="L25" i="19"/>
  <c r="N25" i="19" s="1"/>
  <c r="L27" i="17"/>
  <c r="N27" i="17"/>
  <c r="F35" i="3"/>
  <c r="H30" i="3"/>
  <c r="H31" i="3" s="1"/>
  <c r="H32" i="3" s="1"/>
  <c r="H33" i="3" s="1"/>
  <c r="H34" i="3" s="1"/>
  <c r="H35" i="3" s="1"/>
  <c r="F45" i="3"/>
  <c r="H40" i="3"/>
  <c r="H41" i="3" s="1"/>
  <c r="H42" i="3" s="1"/>
  <c r="H43" i="3" s="1"/>
  <c r="H44" i="3" s="1"/>
  <c r="H45" i="3" s="1"/>
  <c r="L20" i="19"/>
  <c r="N20" i="19" s="1"/>
  <c r="L23" i="19"/>
  <c r="N23" i="19" s="1"/>
  <c r="L20" i="4"/>
  <c r="N20" i="4" s="1"/>
  <c r="L21" i="4"/>
  <c r="N21" i="4" s="1"/>
  <c r="L26" i="18"/>
  <c r="N26" i="18" s="1"/>
  <c r="L28" i="18"/>
  <c r="N28" i="18" s="1"/>
  <c r="A17" i="13"/>
  <c r="A18" i="13" s="1"/>
  <c r="A19" i="13" s="1"/>
  <c r="A20" i="13" s="1"/>
  <c r="A21" i="13" s="1"/>
  <c r="A22" i="13" s="1"/>
  <c r="A23" i="13" s="1"/>
  <c r="A24" i="13" s="1"/>
  <c r="A17" i="9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17" i="7"/>
  <c r="A18" i="7" s="1"/>
  <c r="A19" i="7" s="1"/>
  <c r="A20" i="7" s="1"/>
  <c r="A21" i="7" s="1"/>
  <c r="A22" i="7" s="1"/>
  <c r="A23" i="7" s="1"/>
  <c r="A24" i="7" s="1"/>
  <c r="L27" i="18"/>
  <c r="N27" i="18" s="1"/>
  <c r="L26" i="17"/>
  <c r="N26" i="17"/>
  <c r="L27" i="19"/>
  <c r="N27" i="19" s="1"/>
  <c r="L30" i="20"/>
  <c r="N30" i="20" s="1"/>
  <c r="A17" i="20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L17" i="20"/>
  <c r="N17" i="20" s="1"/>
  <c r="L17" i="19"/>
  <c r="N17" i="19" s="1"/>
  <c r="A17" i="18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L16" i="18"/>
  <c r="N16" i="18" s="1"/>
  <c r="A17" i="16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17" i="15"/>
  <c r="A18" i="15" s="1"/>
  <c r="A19" i="15" s="1"/>
  <c r="A20" i="15" s="1"/>
  <c r="A21" i="15" s="1"/>
  <c r="A22" i="15" s="1"/>
  <c r="A23" i="15" s="1"/>
  <c r="A24" i="15" s="1"/>
  <c r="A25" i="15" s="1"/>
  <c r="A17" i="14"/>
  <c r="A18" i="14" s="1"/>
  <c r="A19" i="14" s="1"/>
  <c r="A20" i="14" s="1"/>
  <c r="A21" i="14" s="1"/>
  <c r="A22" i="14" s="1"/>
  <c r="A17" i="1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17" i="10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L16" i="4"/>
  <c r="N16" i="4" s="1"/>
  <c r="L17" i="4"/>
  <c r="N17" i="4" s="1"/>
  <c r="L18" i="4"/>
  <c r="N18" i="4" s="1"/>
  <c r="L22" i="4"/>
  <c r="N22" i="4" s="1"/>
  <c r="L19" i="4"/>
  <c r="N19" i="4" s="1"/>
  <c r="L23" i="4"/>
  <c r="N23" i="4" s="1"/>
  <c r="A17" i="12"/>
  <c r="A18" i="12" s="1"/>
  <c r="A19" i="12" s="1"/>
  <c r="A20" i="12" s="1"/>
  <c r="A21" i="12" s="1"/>
  <c r="A22" i="12" s="1"/>
  <c r="A23" i="12" s="1"/>
  <c r="A24" i="12" s="1"/>
  <c r="A25" i="12" s="1"/>
  <c r="A26" i="12" s="1"/>
  <c r="L22" i="20"/>
  <c r="N22" i="20" s="1"/>
  <c r="L28" i="20"/>
  <c r="N28" i="20" s="1"/>
  <c r="L25" i="20"/>
  <c r="N25" i="20"/>
  <c r="L24" i="20"/>
  <c r="N24" i="20" s="1"/>
  <c r="L27" i="20"/>
  <c r="N27" i="20" s="1"/>
  <c r="L26" i="20"/>
  <c r="N26" i="20" s="1"/>
  <c r="L29" i="20"/>
  <c r="N29" i="20" s="1"/>
  <c r="L20" i="20"/>
  <c r="N20" i="20" s="1"/>
  <c r="L19" i="20"/>
  <c r="N19" i="20" s="1"/>
  <c r="L21" i="20"/>
  <c r="N21" i="20" s="1"/>
  <c r="L18" i="20"/>
  <c r="N18" i="20" s="1"/>
  <c r="L16" i="20"/>
  <c r="N16" i="20" s="1"/>
  <c r="L26" i="19"/>
  <c r="N26" i="19" s="1"/>
  <c r="L21" i="19"/>
  <c r="N21" i="19" s="1"/>
  <c r="L22" i="19"/>
  <c r="N22" i="19" s="1"/>
  <c r="L19" i="19"/>
  <c r="N19" i="19" s="1"/>
  <c r="L24" i="19"/>
  <c r="N24" i="19" s="1"/>
  <c r="L18" i="19"/>
  <c r="N18" i="19" s="1"/>
  <c r="L16" i="19"/>
  <c r="N16" i="19"/>
  <c r="L23" i="18"/>
  <c r="N23" i="18" s="1"/>
  <c r="L25" i="18"/>
  <c r="N25" i="18" s="1"/>
  <c r="L17" i="18"/>
  <c r="N17" i="18" s="1"/>
  <c r="L24" i="18"/>
  <c r="N24" i="18" s="1"/>
  <c r="L21" i="18"/>
  <c r="N21" i="18" s="1"/>
  <c r="L18" i="18"/>
  <c r="N18" i="18" s="1"/>
  <c r="L22" i="18"/>
  <c r="N22" i="18" s="1"/>
  <c r="L20" i="18"/>
  <c r="N20" i="18" s="1"/>
  <c r="L19" i="18"/>
  <c r="N19" i="18" s="1"/>
  <c r="L25" i="17"/>
  <c r="N25" i="17" s="1"/>
  <c r="L22" i="17"/>
  <c r="N22" i="17" s="1"/>
  <c r="L23" i="17"/>
  <c r="N23" i="17"/>
  <c r="L24" i="17"/>
  <c r="N24" i="17" s="1"/>
  <c r="L19" i="17"/>
  <c r="N19" i="17" s="1"/>
  <c r="L21" i="17"/>
  <c r="N21" i="17" s="1"/>
  <c r="L20" i="17"/>
  <c r="N20" i="17" s="1"/>
  <c r="L17" i="17"/>
  <c r="N17" i="17" s="1"/>
  <c r="L16" i="17"/>
  <c r="N16" i="17" s="1"/>
  <c r="A17" i="17"/>
  <c r="A18" i="17" s="1"/>
  <c r="A19" i="17" s="1"/>
  <c r="A20" i="17" s="1"/>
  <c r="A21" i="17" s="1"/>
  <c r="A22" i="17" s="1"/>
  <c r="A23" i="17" s="1"/>
  <c r="A24" i="17" s="1"/>
  <c r="A25" i="17" s="1"/>
  <c r="A26" i="17" s="1"/>
  <c r="L18" i="17"/>
  <c r="N18" i="17" s="1"/>
  <c r="L25" i="4"/>
  <c r="N25" i="4" s="1"/>
  <c r="L24" i="4"/>
  <c r="N24" i="4" s="1"/>
  <c r="F43" i="5"/>
  <c r="H38" i="5"/>
  <c r="H39" i="5" s="1"/>
  <c r="H40" i="5" s="1"/>
  <c r="H41" i="5" s="1"/>
  <c r="H42" i="5" s="1"/>
  <c r="H43" i="5" s="1"/>
  <c r="A17" i="4"/>
  <c r="A18" i="4" s="1"/>
  <c r="A19" i="4" s="1"/>
  <c r="A20" i="4" s="1"/>
  <c r="A21" i="4" s="1"/>
  <c r="A22" i="4" s="1"/>
  <c r="A23" i="4" s="1"/>
  <c r="A24" i="4" s="1"/>
  <c r="F18" i="3"/>
  <c r="H13" i="3"/>
  <c r="H14" i="3" s="1"/>
  <c r="H15" i="3" s="1"/>
  <c r="H16" i="3" s="1"/>
  <c r="H17" i="3" s="1"/>
  <c r="H18" i="3" s="1"/>
  <c r="A17" i="2"/>
  <c r="A18" i="2" s="1"/>
  <c r="A19" i="2" s="1"/>
  <c r="A20" i="2" s="1"/>
  <c r="A21" i="2" s="1"/>
  <c r="A22" i="2" s="1"/>
  <c r="A23" i="2" s="1"/>
  <c r="O26" i="49"/>
  <c r="Q26" i="49" s="1"/>
  <c r="L26" i="49"/>
</calcChain>
</file>

<file path=xl/sharedStrings.xml><?xml version="1.0" encoding="utf-8"?>
<sst xmlns="http://schemas.openxmlformats.org/spreadsheetml/2006/main" count="3843" uniqueCount="882">
  <si>
    <t>Министерство спорта Российской Федерации</t>
  </si>
  <si>
    <t>ООО "Всероссийская Федерация гиревого спорта"</t>
  </si>
  <si>
    <t>Вес гирь 32 кг.</t>
  </si>
  <si>
    <t>ПРОТОКОЛ</t>
  </si>
  <si>
    <t>Регламент времени-10 мин.</t>
  </si>
  <si>
    <t>Рекорд России</t>
  </si>
  <si>
    <t xml:space="preserve">                Ч Е М П И О Н А Т     Р О С С И И </t>
  </si>
  <si>
    <t>Разрядные нормативы</t>
  </si>
  <si>
    <t>КМС</t>
  </si>
  <si>
    <t>МС</t>
  </si>
  <si>
    <t>МСМК</t>
  </si>
  <si>
    <t xml:space="preserve">ДЛИННЫЙ ЦИКЛ </t>
  </si>
  <si>
    <t>Весовая категория до 63  кг.</t>
  </si>
  <si>
    <t xml:space="preserve">Количество  регионов </t>
  </si>
  <si>
    <t xml:space="preserve">Количество участников </t>
  </si>
  <si>
    <t>Место</t>
  </si>
  <si>
    <t>Ф.И.</t>
  </si>
  <si>
    <t>Дата рождения</t>
  </si>
  <si>
    <t>Разряд</t>
  </si>
  <si>
    <t>Команда</t>
  </si>
  <si>
    <t>ДСО, ведомство</t>
  </si>
  <si>
    <t>Соб. вес</t>
  </si>
  <si>
    <t>Толчок</t>
  </si>
  <si>
    <t>Ком. очки</t>
  </si>
  <si>
    <t>Вып. разряд</t>
  </si>
  <si>
    <t>ФИО тренера(тренеров)</t>
  </si>
  <si>
    <t>Рябков Алексей</t>
  </si>
  <si>
    <t>Тюменская область</t>
  </si>
  <si>
    <t xml:space="preserve">Смирнов Владимир </t>
  </si>
  <si>
    <t>Трофимов М.А.</t>
  </si>
  <si>
    <t>Урожай</t>
  </si>
  <si>
    <t>ВС</t>
  </si>
  <si>
    <t>Челябинская область</t>
  </si>
  <si>
    <t>Омская область</t>
  </si>
  <si>
    <t>Анасенко А.В.</t>
  </si>
  <si>
    <t>Томская область</t>
  </si>
  <si>
    <t>г. Москва</t>
  </si>
  <si>
    <t>Динамо</t>
  </si>
  <si>
    <t>Шаповалов Е.Г.</t>
  </si>
  <si>
    <t>Гомонов В. Н.</t>
  </si>
  <si>
    <t>Зам. главного судьи</t>
  </si>
  <si>
    <t xml:space="preserve">Зам.главного секретаря </t>
  </si>
  <si>
    <t>Вес гирь 24 кг.</t>
  </si>
  <si>
    <t xml:space="preserve">РЫВОК </t>
  </si>
  <si>
    <t>Весовая категория до 58 кг.</t>
  </si>
  <si>
    <t>Звание</t>
  </si>
  <si>
    <t>Рывок</t>
  </si>
  <si>
    <t>Яременко Ольга</t>
  </si>
  <si>
    <t>Елисеева Наталья</t>
  </si>
  <si>
    <t>Елисеев В.С.</t>
  </si>
  <si>
    <t>Лаптева Мария</t>
  </si>
  <si>
    <t>Вес гирь 32 кг</t>
  </si>
  <si>
    <t xml:space="preserve">КОМАНДА : </t>
  </si>
  <si>
    <t>Этап</t>
  </si>
  <si>
    <t>Вес. кат-рия</t>
  </si>
  <si>
    <t>ФИО</t>
  </si>
  <si>
    <t>Собств. вес</t>
  </si>
  <si>
    <t>Результат участника</t>
  </si>
  <si>
    <t xml:space="preserve">Рез-т команды </t>
  </si>
  <si>
    <t>ФИО тренера</t>
  </si>
  <si>
    <t>Ташланов И.С.</t>
  </si>
  <si>
    <t>Гайнцев Дмитрий</t>
  </si>
  <si>
    <t>Гафаров Денис</t>
  </si>
  <si>
    <t>Общий вес команды :</t>
  </si>
  <si>
    <t xml:space="preserve">КОМАНДА: </t>
  </si>
  <si>
    <t>Усольцев Александр</t>
  </si>
  <si>
    <t>Любимский Сергей</t>
  </si>
  <si>
    <t>КОМАНДА:</t>
  </si>
  <si>
    <t>Рез-т команды</t>
  </si>
  <si>
    <t>Общий вес команды:</t>
  </si>
  <si>
    <t>Сутягин Валентин</t>
  </si>
  <si>
    <t>Карепин Александр</t>
  </si>
  <si>
    <t>Полянский Владимир</t>
  </si>
  <si>
    <t>Чепуштанов Игорь</t>
  </si>
  <si>
    <t>Дворцов Владимир</t>
  </si>
  <si>
    <t>Главный судья</t>
  </si>
  <si>
    <t>Главный секретарь</t>
  </si>
  <si>
    <t xml:space="preserve">          ПРОТОКОЛ</t>
  </si>
  <si>
    <t>Ч Е М П И О Н А Т     Р О С С И И</t>
  </si>
  <si>
    <t xml:space="preserve">Рывок </t>
  </si>
  <si>
    <t>Сумма ДВ</t>
  </si>
  <si>
    <t xml:space="preserve"> ДВОЕБОРЬЕ </t>
  </si>
  <si>
    <t>Весовая категория до 63 кг.</t>
  </si>
  <si>
    <t>Сумма     дв-рья</t>
  </si>
  <si>
    <t>Сумма</t>
  </si>
  <si>
    <t>Очки</t>
  </si>
  <si>
    <t>г. Санкт-Петербург</t>
  </si>
  <si>
    <t>Гоголев М.Н.</t>
  </si>
  <si>
    <t xml:space="preserve">Богданов Вадим </t>
  </si>
  <si>
    <t>Огарев В.Я.</t>
  </si>
  <si>
    <t>Ташланов Илья</t>
  </si>
  <si>
    <t>95+</t>
  </si>
  <si>
    <t>Панов Алексей</t>
  </si>
  <si>
    <t>Павлов Валерий</t>
  </si>
  <si>
    <t>Мартыневич Иван</t>
  </si>
  <si>
    <t>Сагандыков Асет</t>
  </si>
  <si>
    <t>Козленко В.Н.</t>
  </si>
  <si>
    <t>Кулебакин Алексей</t>
  </si>
  <si>
    <t>Саврасов Вячеслав</t>
  </si>
  <si>
    <t xml:space="preserve"> </t>
  </si>
  <si>
    <t xml:space="preserve">Квашнин Михаил </t>
  </si>
  <si>
    <t>Всероссийская Федерация гиревого спорта</t>
  </si>
  <si>
    <t>Регион/ команда</t>
  </si>
  <si>
    <t>Женщины (рывок)</t>
  </si>
  <si>
    <t>Мужчины (длинный цикл)</t>
  </si>
  <si>
    <t>Мужчины (двоеборье)</t>
  </si>
  <si>
    <t>68+</t>
  </si>
  <si>
    <t>Аппеляционное жюри</t>
  </si>
  <si>
    <t>Трофимов М.А., ВК Калужская обл.</t>
  </si>
  <si>
    <t>Шванёв В.Б., ВК  Смоленская обл.</t>
  </si>
  <si>
    <t xml:space="preserve">Агентство по физической культуре и спорту Ярославской области </t>
  </si>
  <si>
    <t>Ярославская региональная общественная организация «Федерация гиревого спорта».</t>
  </si>
  <si>
    <t>02-06 июня  2016 г.</t>
  </si>
  <si>
    <t xml:space="preserve">г. Ярославль, Ярославской обл. </t>
  </si>
  <si>
    <t>Нескромный О.В.</t>
  </si>
  <si>
    <t xml:space="preserve">   СВОДНЫЙ ПРОТОКОЛ</t>
  </si>
  <si>
    <t>Весовая категория до 68  кг.</t>
  </si>
  <si>
    <t>по гиревому спорту 2016 года</t>
  </si>
  <si>
    <t>Весовая категория до 68 кг.</t>
  </si>
  <si>
    <t>Мартьянов А.В.</t>
  </si>
  <si>
    <t>Калужская обл.</t>
  </si>
  <si>
    <t>ДЮСШ "Губерния"</t>
  </si>
  <si>
    <t>Брянская обл.</t>
  </si>
  <si>
    <t>Профсоюзы</t>
  </si>
  <si>
    <t>Курохтин И.А.</t>
  </si>
  <si>
    <t>Новосибирская область</t>
  </si>
  <si>
    <t>Бутенко А.А.</t>
  </si>
  <si>
    <t>Симушин Андрей</t>
  </si>
  <si>
    <t>Самостоятельно</t>
  </si>
  <si>
    <t>Смоленская обл.</t>
  </si>
  <si>
    <t>ХМАО-Югра</t>
  </si>
  <si>
    <t>Чувашская Республика</t>
  </si>
  <si>
    <t>г.Москва\Вологодская обл.</t>
  </si>
  <si>
    <t>Ефимов А.В., Бутыч В.В.</t>
  </si>
  <si>
    <t xml:space="preserve">Кобзарь Владимир </t>
  </si>
  <si>
    <t>Чокан Петр</t>
  </si>
  <si>
    <t xml:space="preserve">Петров Владимир </t>
  </si>
  <si>
    <t>Санкт-Петербург/ Чувашская Республика</t>
  </si>
  <si>
    <t xml:space="preserve">Кириллов С.А., Петров М.В. </t>
  </si>
  <si>
    <t>Козаев Эдсон</t>
  </si>
  <si>
    <t>Липецкая обл.</t>
  </si>
  <si>
    <t>Спартак</t>
  </si>
  <si>
    <t>Новиков И.В.</t>
  </si>
  <si>
    <t>Семенов Павел</t>
  </si>
  <si>
    <t>Дедюхин И.В.</t>
  </si>
  <si>
    <t>Краснодарский край</t>
  </si>
  <si>
    <t xml:space="preserve">ДЮСШ </t>
  </si>
  <si>
    <t>Ростовская обл.</t>
  </si>
  <si>
    <t>Чайка Андрей</t>
  </si>
  <si>
    <t>Респ. Крым</t>
  </si>
  <si>
    <t>ПФ</t>
  </si>
  <si>
    <t>Беляев Иван</t>
  </si>
  <si>
    <t>Белгородская обл.</t>
  </si>
  <si>
    <t>ШВСМ</t>
  </si>
  <si>
    <t>Власов А.П., Меркулин С.В</t>
  </si>
  <si>
    <t>Шипицын Максим</t>
  </si>
  <si>
    <t>Толстов С.Б., Даричев Е.Н.</t>
  </si>
  <si>
    <t>Рассадин Андрей</t>
  </si>
  <si>
    <t>Р. Бурятия  - Тюменская область</t>
  </si>
  <si>
    <t>Леонов С.Т., Евтушенко Е.Б., Барсуков А.П.</t>
  </si>
  <si>
    <t>Сясин Максим</t>
  </si>
  <si>
    <t xml:space="preserve">Шаповалов Евгений </t>
  </si>
  <si>
    <t>Кадиров Н.Н.</t>
  </si>
  <si>
    <t xml:space="preserve">Немыкин Дмитрий </t>
  </si>
  <si>
    <t>Рогоза А.А.</t>
  </si>
  <si>
    <t>Карагаев Юрий</t>
  </si>
  <si>
    <t>ЯНАО</t>
  </si>
  <si>
    <t>Кадыров Радмир</t>
  </si>
  <si>
    <t>Р. Башкортостан</t>
  </si>
  <si>
    <t>ДЮСШ</t>
  </si>
  <si>
    <t>Гладких В.Л.</t>
  </si>
  <si>
    <t>Кадобнов Евгений</t>
  </si>
  <si>
    <t>Ярославская обл.</t>
  </si>
  <si>
    <t>Шпартко М.А., Глущенко Е.Д.</t>
  </si>
  <si>
    <t>Селиверстов Семен</t>
  </si>
  <si>
    <t xml:space="preserve">Коляков Антон </t>
  </si>
  <si>
    <t>г. Санкт-Петербург\ Ростовская обл.</t>
  </si>
  <si>
    <t>Кириллов С.А.Коляков Е.В.</t>
  </si>
  <si>
    <t xml:space="preserve">Коломацкий Алексей </t>
  </si>
  <si>
    <t>Сахаров В.В.</t>
  </si>
  <si>
    <t xml:space="preserve">Лапшин Николай </t>
  </si>
  <si>
    <t>Кириллов С.А. Сливкин В.В.</t>
  </si>
  <si>
    <t xml:space="preserve">Карпов Николай </t>
  </si>
  <si>
    <t>Даричев Е.Н., Толстов С.Б.</t>
  </si>
  <si>
    <t xml:space="preserve">Смирнов Алексей </t>
  </si>
  <si>
    <t>Денисенко Дмитрий</t>
  </si>
  <si>
    <t>СФО</t>
  </si>
  <si>
    <t>Денисенко А.В., Полянских В.С.</t>
  </si>
  <si>
    <t>Кораблин Олег</t>
  </si>
  <si>
    <t>Воронежская обл.</t>
  </si>
  <si>
    <t>Хорошилов А.А.</t>
  </si>
  <si>
    <t>Фролов Василий</t>
  </si>
  <si>
    <t>Осипов Александр</t>
  </si>
  <si>
    <t>Анасенко А.В., Сагандыков К.К.</t>
  </si>
  <si>
    <t>ХМАО - Югра</t>
  </si>
  <si>
    <t>Весовая категория до 73  кг.</t>
  </si>
  <si>
    <t>Весовая категория до 78  кг.</t>
  </si>
  <si>
    <t>Весовая категория до 85  кг.</t>
  </si>
  <si>
    <t>Кулаков Иван</t>
  </si>
  <si>
    <t>Рязанская обл.</t>
  </si>
  <si>
    <t>ДДЮ "Алые паруса"</t>
  </si>
  <si>
    <t>Шматов И.Б.</t>
  </si>
  <si>
    <t>Волосовцев Дмитрий</t>
  </si>
  <si>
    <t>СДЮСШОР №5</t>
  </si>
  <si>
    <t>Меркулин С.В.,Кривоконь А.И.</t>
  </si>
  <si>
    <t>Вологодская обл.</t>
  </si>
  <si>
    <t>Ишембитов Салават</t>
  </si>
  <si>
    <t>Гос. Обр.</t>
  </si>
  <si>
    <t>Музыкин Максим</t>
  </si>
  <si>
    <t>Чмыхало Н.А.</t>
  </si>
  <si>
    <t>Ажермачев А.Б.</t>
  </si>
  <si>
    <t xml:space="preserve">Литвинко Валерий </t>
  </si>
  <si>
    <t>Кириллов С.А</t>
  </si>
  <si>
    <t xml:space="preserve">Фещенко Владимир </t>
  </si>
  <si>
    <t>Фещенко И.В.</t>
  </si>
  <si>
    <t>Кировская обл.</t>
  </si>
  <si>
    <t>ДЮСШ "Юность "</t>
  </si>
  <si>
    <t>Малков Е.И.</t>
  </si>
  <si>
    <t>Курганская область</t>
  </si>
  <si>
    <t>Фролков Юрий</t>
  </si>
  <si>
    <t>Глинкин Б.Н., Болтиков В.К.</t>
  </si>
  <si>
    <t>Весовая категория до 95  кг.</t>
  </si>
  <si>
    <t>Кравцов Андрей</t>
  </si>
  <si>
    <t>ЗМС</t>
  </si>
  <si>
    <t>Опенлендер Эдуард</t>
  </si>
  <si>
    <t>Анасенко А.В., Лазарев Л.Н., Шпартко М.А.</t>
  </si>
  <si>
    <t xml:space="preserve">Гуров Владимир </t>
  </si>
  <si>
    <t>Лукьянчиков Юрий</t>
  </si>
  <si>
    <t>Садыков Р.И.</t>
  </si>
  <si>
    <t>Пономарёв Дмитрий</t>
  </si>
  <si>
    <t>Глинкин Б.Н.</t>
  </si>
  <si>
    <t xml:space="preserve">Тихомиров Владислав </t>
  </si>
  <si>
    <t>Кириллов С.А. Дубровин Д., Петров В.</t>
  </si>
  <si>
    <t>Весовая категория свыше 95  кг.</t>
  </si>
  <si>
    <t xml:space="preserve">Кичимаев Николай </t>
  </si>
  <si>
    <t>Семенов А.Н.</t>
  </si>
  <si>
    <t>Токарев Владимир</t>
  </si>
  <si>
    <t>Алтайский край</t>
  </si>
  <si>
    <t>Рябченко А.В.</t>
  </si>
  <si>
    <t>Шванев В.Б.</t>
  </si>
  <si>
    <t>Шалимов Василий</t>
  </si>
  <si>
    <t>Загребин И.М.</t>
  </si>
  <si>
    <t xml:space="preserve">Петрожицкий Дмитрий </t>
  </si>
  <si>
    <t>Янголенко Павел</t>
  </si>
  <si>
    <t>СДЮСШ №3</t>
  </si>
  <si>
    <t>Шанин А.С.</t>
  </si>
  <si>
    <t xml:space="preserve">Щербина Джанита </t>
  </si>
  <si>
    <t>Кириллов С.А.,Петров М В.</t>
  </si>
  <si>
    <t>Колчина Светлана</t>
  </si>
  <si>
    <t>Атлет</t>
  </si>
  <si>
    <t xml:space="preserve">Барбакова Наталья </t>
  </si>
  <si>
    <t>Постнова Ольга</t>
  </si>
  <si>
    <t>Стреколовский С.К.</t>
  </si>
  <si>
    <t xml:space="preserve">Машкова Дарья </t>
  </si>
  <si>
    <t>Сагдатова Алсу</t>
  </si>
  <si>
    <t>Хасанов Р.Ф.</t>
  </si>
  <si>
    <t>Дедюхина Ксения</t>
  </si>
  <si>
    <t xml:space="preserve">Челябинская область   </t>
  </si>
  <si>
    <t>Буторина Елена</t>
  </si>
  <si>
    <t>Жук Людмила</t>
  </si>
  <si>
    <t>Галина Наиля</t>
  </si>
  <si>
    <t>Р. Башкортастан</t>
  </si>
  <si>
    <t>Гладских В.Л.</t>
  </si>
  <si>
    <t xml:space="preserve">Васькина Алина </t>
  </si>
  <si>
    <t>Степанова  Оксана</t>
  </si>
  <si>
    <t>Степанов С.В.</t>
  </si>
  <si>
    <t xml:space="preserve">Васильева Александра </t>
  </si>
  <si>
    <t>Чмыхало Н.А.Васильев Д.Ю.</t>
  </si>
  <si>
    <t>Киреева Анна</t>
  </si>
  <si>
    <t>Доронин Э. Н., Чупров П.М., Бакум К.Е.</t>
  </si>
  <si>
    <t>Баринова Екатерина</t>
  </si>
  <si>
    <t>Ульяновская обл.</t>
  </si>
  <si>
    <t>УлГПУ</t>
  </si>
  <si>
    <t>Родин Е.А.</t>
  </si>
  <si>
    <t>Павличенко Дарья</t>
  </si>
  <si>
    <t>Колобов Е.В.</t>
  </si>
  <si>
    <t>Весовая категория свыше 68 кг.</t>
  </si>
  <si>
    <t>Македонских Марина</t>
  </si>
  <si>
    <t>Алфёрова В.Я., Козлов В.Г.</t>
  </si>
  <si>
    <t xml:space="preserve">Мартынова Ирина </t>
  </si>
  <si>
    <t>Золотарева Анастасия</t>
  </si>
  <si>
    <t>Островская Надежда</t>
  </si>
  <si>
    <t>ХМАО- Югра</t>
  </si>
  <si>
    <t>Чагин С.Г., Бакум К.Е., Садыков Р.И.</t>
  </si>
  <si>
    <t>Иваненко Татьяна</t>
  </si>
  <si>
    <t>Ажермачев А.Б., Павлов В.Ю.</t>
  </si>
  <si>
    <t>Матюшина Екатерина</t>
  </si>
  <si>
    <t>Полянских В.С., Чипизубов А.Н.</t>
  </si>
  <si>
    <t xml:space="preserve">Бобришева Екатерина   </t>
  </si>
  <si>
    <t xml:space="preserve">Лащенина Елена </t>
  </si>
  <si>
    <t>Чмыхало Н.А.Хвостов А.В.</t>
  </si>
  <si>
    <t>Рихтер Юлия</t>
  </si>
  <si>
    <t>Красноярский край</t>
  </si>
  <si>
    <t>Каплюк В.П., Ткачев В.А.</t>
  </si>
  <si>
    <t xml:space="preserve">Столярова Есения          </t>
  </si>
  <si>
    <t>Р. Карелия</t>
  </si>
  <si>
    <t>Ильин И.М.</t>
  </si>
  <si>
    <t>Никитина Светлана</t>
  </si>
  <si>
    <t>ДЮСШ "Юность"</t>
  </si>
  <si>
    <t>Касьянова Любовь</t>
  </si>
  <si>
    <t>Воронежская область</t>
  </si>
  <si>
    <t>Епанчин В.А.</t>
  </si>
  <si>
    <t>Женихов Юрий</t>
  </si>
  <si>
    <t>Егоров В.В.</t>
  </si>
  <si>
    <t>Рыжков Антон</t>
  </si>
  <si>
    <t>Коляков Евгений</t>
  </si>
  <si>
    <t xml:space="preserve">Балабанов Сергей </t>
  </si>
  <si>
    <t>Мякишева Ирина</t>
  </si>
  <si>
    <t>Чуев Павел</t>
  </si>
  <si>
    <t>Сясин Артём</t>
  </si>
  <si>
    <t>ЮР</t>
  </si>
  <si>
    <t>Курохтин И.А. Сясин М.О.</t>
  </si>
  <si>
    <t>Вильченко Эльвира</t>
  </si>
  <si>
    <t>Лебедев Игорь</t>
  </si>
  <si>
    <t>Гоголев М.Н. Кобзев МА</t>
  </si>
  <si>
    <t>Сукин  Иван</t>
  </si>
  <si>
    <t>Сукин А.А.</t>
  </si>
  <si>
    <t>Захаров  Павел</t>
  </si>
  <si>
    <t>Егоров В.В.Елькин Ю.Г.</t>
  </si>
  <si>
    <t>Лопата Юлия</t>
  </si>
  <si>
    <t>Хренова Любовь</t>
  </si>
  <si>
    <t>Новикова Светлана</t>
  </si>
  <si>
    <t>Виноградова С.Н.</t>
  </si>
  <si>
    <t>Волков А.А.</t>
  </si>
  <si>
    <t>Потапов К.И.</t>
  </si>
  <si>
    <t>Гуахар Махсот</t>
  </si>
  <si>
    <t>Захаров П С,Елькин Ю Г</t>
  </si>
  <si>
    <t>ЧЕЛЯБИНСКАЯ ОБЛАСТЬ</t>
  </si>
  <si>
    <t xml:space="preserve">Бенидзе Джони </t>
  </si>
  <si>
    <t>Огарев В.Я.,Кириллов С.А</t>
  </si>
  <si>
    <t>Щербин Олег</t>
  </si>
  <si>
    <t>Самарская обл.</t>
  </si>
  <si>
    <t>Ковалевский А.А.Симень В.П.</t>
  </si>
  <si>
    <t>Бутенко Игорь</t>
  </si>
  <si>
    <t>Егоров Валентин</t>
  </si>
  <si>
    <r>
      <rPr>
        <sz val="10"/>
        <rFont val="Times New Roman"/>
        <family val="1"/>
        <charset val="204"/>
      </rPr>
      <t>Гаджимутелимов Гаджимирза</t>
    </r>
    <r>
      <rPr>
        <sz val="11"/>
        <rFont val="Times New Roman"/>
        <family val="1"/>
        <charset val="204"/>
      </rPr>
      <t xml:space="preserve">  </t>
    </r>
  </si>
  <si>
    <t xml:space="preserve">ВС </t>
  </si>
  <si>
    <t>Бобров Владимир</t>
  </si>
  <si>
    <t xml:space="preserve">Усольцев Александр </t>
  </si>
  <si>
    <t>Смирнов Артем</t>
  </si>
  <si>
    <t xml:space="preserve">Журавлев Виталий </t>
  </si>
  <si>
    <t xml:space="preserve">Мещеряков Сергей        </t>
  </si>
  <si>
    <t xml:space="preserve">Яковлев Евгений       </t>
  </si>
  <si>
    <t>Татнев Владимир</t>
  </si>
  <si>
    <t>Свердловская область</t>
  </si>
  <si>
    <t>Лесников П.Я.,Бакум К.Е.</t>
  </si>
  <si>
    <t>Ефимов А.В.Бутыч В.В.</t>
  </si>
  <si>
    <t>Катаев И.Н.</t>
  </si>
  <si>
    <t>Калюбаев В.Н.Меркулин С.В.</t>
  </si>
  <si>
    <t>Квашнин М.Ф.</t>
  </si>
  <si>
    <t>Сулейманов Мовсар</t>
  </si>
  <si>
    <t>Р. Бурятия - Тюменская область</t>
  </si>
  <si>
    <t>Иванов  Алексей</t>
  </si>
  <si>
    <t>Чувашская Респ.</t>
  </si>
  <si>
    <t>Саламатин Марк</t>
  </si>
  <si>
    <t>Баев Константин</t>
  </si>
  <si>
    <t>СК</t>
  </si>
  <si>
    <t>Денисенко А.В.</t>
  </si>
  <si>
    <t>Ефимов А.В., Полищук В.В.</t>
  </si>
  <si>
    <t>Щекотов И.Г</t>
  </si>
  <si>
    <t>Томкая область</t>
  </si>
  <si>
    <t>Стрекаловских Николай</t>
  </si>
  <si>
    <t>Крупенников Виталий</t>
  </si>
  <si>
    <t xml:space="preserve">Цурков Олег </t>
  </si>
  <si>
    <t>Миронов Александр</t>
  </si>
  <si>
    <t>Степанов Сергей</t>
  </si>
  <si>
    <t>Стрекаловских С.К.</t>
  </si>
  <si>
    <t>Пянко И.А.</t>
  </si>
  <si>
    <t>Кириллов С.А., Коляков Е.В.</t>
  </si>
  <si>
    <t>Денисов И.Н., Рябков А.И.</t>
  </si>
  <si>
    <t>Симушин А.М,</t>
  </si>
  <si>
    <t>Анасенко Антон</t>
  </si>
  <si>
    <t xml:space="preserve">Дубровин Дмитрий </t>
  </si>
  <si>
    <t>Давыдов Денис</t>
  </si>
  <si>
    <t>Павлов Александр</t>
  </si>
  <si>
    <t>Пелевин Алексей</t>
  </si>
  <si>
    <t>Гаврилов Андрей</t>
  </si>
  <si>
    <t xml:space="preserve">Красноперов Павел </t>
  </si>
  <si>
    <t xml:space="preserve">Ветров Денис </t>
  </si>
  <si>
    <t>Королев Роман</t>
  </si>
  <si>
    <t>Жилин А.В., Козленко В.Н.</t>
  </si>
  <si>
    <t>Козленко В.Н., Тюкин С.Ю.</t>
  </si>
  <si>
    <t>Симушин А.М., Куликов В.В.</t>
  </si>
  <si>
    <t>Кириллов С.А Дубровин Д.А.</t>
  </si>
  <si>
    <t>Бажин А.М., Ажермачев А.Б.</t>
  </si>
  <si>
    <t>г.Санкт-Петербург</t>
  </si>
  <si>
    <t>Пугачёв Дмитрий</t>
  </si>
  <si>
    <t>Болотников Иван</t>
  </si>
  <si>
    <t>Рязанская обл</t>
  </si>
  <si>
    <t>Баранов А.В.</t>
  </si>
  <si>
    <t>Полянский В.С., Чепуштанов И.В.</t>
  </si>
  <si>
    <t>Весовая категория до 73 кг.</t>
  </si>
  <si>
    <t>Весовая категория до 78 кг.</t>
  </si>
  <si>
    <t>Весовая категория до 85 кг.</t>
  </si>
  <si>
    <t>Весовая категория до 95 кг.</t>
  </si>
  <si>
    <t>Хвостов Александр</t>
  </si>
  <si>
    <t>Шупило Андрей</t>
  </si>
  <si>
    <t>Меркулин С.В.,Власов А.П.</t>
  </si>
  <si>
    <t xml:space="preserve">Хрестин Максим </t>
  </si>
  <si>
    <t>Колупаев Роман</t>
  </si>
  <si>
    <t>Абдуллин Р.Р.</t>
  </si>
  <si>
    <t xml:space="preserve">Саватеев Герман </t>
  </si>
  <si>
    <t>Скоробогатых Тимур</t>
  </si>
  <si>
    <t>Псковская область</t>
  </si>
  <si>
    <t>Маяков Дмитрий</t>
  </si>
  <si>
    <t>самостоятельно</t>
  </si>
  <si>
    <t>Савинов Роман</t>
  </si>
  <si>
    <t>Нестеренко Николай</t>
  </si>
  <si>
    <t>Орлов Дмитрий</t>
  </si>
  <si>
    <t xml:space="preserve"> Кобзев МА</t>
  </si>
  <si>
    <t>Сафронов Семен</t>
  </si>
  <si>
    <t>Куделин Максим</t>
  </si>
  <si>
    <t>Цаплев Антон</t>
  </si>
  <si>
    <t xml:space="preserve">Кушников Сергей </t>
  </si>
  <si>
    <t xml:space="preserve">Бежко Павел </t>
  </si>
  <si>
    <t>Верещагин С.И.</t>
  </si>
  <si>
    <t>Конев  А.В.</t>
  </si>
  <si>
    <t>Тюменская обл.-Бурятия</t>
  </si>
  <si>
    <t>Блохин И.А., Толстов С.Б.</t>
  </si>
  <si>
    <t xml:space="preserve">Вдовенко Александр </t>
  </si>
  <si>
    <t>Елькина  Галина</t>
  </si>
  <si>
    <t>Царегородцев  Д.М.</t>
  </si>
  <si>
    <t>Чеботарев Ю.Ю., Мартьянов А.В.</t>
  </si>
  <si>
    <t>Ажермачёв А.Б., Сидельников А.А.</t>
  </si>
  <si>
    <t>Кадиров Н.Н., Ахмадуллина Э.Т.</t>
  </si>
  <si>
    <t>,Кобзев М.А.</t>
  </si>
  <si>
    <t>Глинкин Б.Н.,Мащенко А.С.,</t>
  </si>
  <si>
    <t>Стрекаловских Н.С.</t>
  </si>
  <si>
    <t>г. Санкт-Петербург- Ростовская.обл</t>
  </si>
  <si>
    <t>Иванов Евгений</t>
  </si>
  <si>
    <t>Сергеев С.В.</t>
  </si>
  <si>
    <t>св.95</t>
  </si>
  <si>
    <t>Томская обл.</t>
  </si>
  <si>
    <t>Немов Александр</t>
  </si>
  <si>
    <t>Панарин Владимир</t>
  </si>
  <si>
    <t>Коляков Антон</t>
  </si>
  <si>
    <t>Курохтин И.А. Мармазов С.В.</t>
  </si>
  <si>
    <t xml:space="preserve">Главный секретарь                        Нескромный О.В.       ВК, Ярославская область              </t>
  </si>
  <si>
    <t>г.Москва</t>
  </si>
  <si>
    <t>Омская обл.</t>
  </si>
  <si>
    <t>Башкортостан</t>
  </si>
  <si>
    <t>Чмыхало Н.В.</t>
  </si>
  <si>
    <t>Пастухов И.В., Добровольский А.С.</t>
  </si>
  <si>
    <t>МС+</t>
  </si>
  <si>
    <t>МСМК+</t>
  </si>
  <si>
    <t>Курганская обл.</t>
  </si>
  <si>
    <t>Валеев А.З</t>
  </si>
  <si>
    <t>Смоленская обл</t>
  </si>
  <si>
    <t xml:space="preserve">Королёв Антон </t>
  </si>
  <si>
    <t xml:space="preserve"> Дедюхин И.В., Шпартко М.А.</t>
  </si>
  <si>
    <t>Александрова Анастасия</t>
  </si>
  <si>
    <t>Иванова Екатерина</t>
  </si>
  <si>
    <t>Виноградова  Светлана</t>
  </si>
  <si>
    <t>л</t>
  </si>
  <si>
    <t>Успенский Сергей</t>
  </si>
  <si>
    <t xml:space="preserve">МС </t>
  </si>
  <si>
    <t>Установлен Рекорд России в рывке-183 подъёма - Васильева Александра (г.Санкт-Петербург)</t>
  </si>
  <si>
    <t xml:space="preserve">г. Ярославль, Ярославская обл. </t>
  </si>
  <si>
    <t>ТОМСКАЯ ОБЛАСТЬ</t>
  </si>
  <si>
    <t>г. САНКТ-ПЕТЕРБУРГ</t>
  </si>
  <si>
    <t>№ п/п</t>
  </si>
  <si>
    <t xml:space="preserve">Фамилия, Инициалы </t>
  </si>
  <si>
    <t>Судейская категория</t>
  </si>
  <si>
    <t>Судейская должность</t>
  </si>
  <si>
    <t>Дни работы</t>
  </si>
  <si>
    <t>Оценка</t>
  </si>
  <si>
    <t>ВК</t>
  </si>
  <si>
    <t xml:space="preserve">Заместитель гл. судьи </t>
  </si>
  <si>
    <t>Заместитель гл. секретаря</t>
  </si>
  <si>
    <t>1К</t>
  </si>
  <si>
    <t xml:space="preserve">г. С. Петербург </t>
  </si>
  <si>
    <t>Судья</t>
  </si>
  <si>
    <t xml:space="preserve">СПИСОК  СУДЕЙ </t>
  </si>
  <si>
    <t>Тюменская обл.</t>
  </si>
  <si>
    <t>Апеляционное жюри</t>
  </si>
  <si>
    <t>Потапов С.В.</t>
  </si>
  <si>
    <t>Пермский край</t>
  </si>
  <si>
    <t>Челябинская обл.</t>
  </si>
  <si>
    <t>Санкт-Петербург, Свердловская область</t>
  </si>
  <si>
    <t>Волков А.А. ВК, Ярославская область</t>
  </si>
  <si>
    <t xml:space="preserve">Главный судья                                    Гоголев М.Н.  ВК, Ярославская область     </t>
  </si>
  <si>
    <t>Побережная Н.А. ВК, Калужская область</t>
  </si>
  <si>
    <t>Установлен Рекорд России в толчке по длинному циклу - 83 подъёма - Полянский Владимир (Томская область)</t>
  </si>
  <si>
    <t>г. Санкт-Петербург\  Ростовская обл.</t>
  </si>
  <si>
    <t>Кучеров Виктор</t>
  </si>
  <si>
    <t>Регион</t>
  </si>
  <si>
    <t>Татарстан</t>
  </si>
  <si>
    <t>Курганская  область</t>
  </si>
  <si>
    <t>Анасенко А.В., Козленко В.Н.,Адамсон Р.А.</t>
  </si>
  <si>
    <t>Калужская область</t>
  </si>
  <si>
    <t>Сычев В.К., Полещук В.В., Бакум К.Е.</t>
  </si>
  <si>
    <t xml:space="preserve">Главный секретарь                        Нескромный О.В. ВК, Ярославская область              </t>
  </si>
  <si>
    <t>Кировская область</t>
  </si>
  <si>
    <t>Ярославская область</t>
  </si>
  <si>
    <t>Ульяновская область</t>
  </si>
  <si>
    <t>Самарская област</t>
  </si>
  <si>
    <t>Захаров П. С.,Елькин Ю. Г.</t>
  </si>
  <si>
    <t>Курская область</t>
  </si>
  <si>
    <t>Установлен Рекорд России в толчке-148 подъёмов - Ташланов Илья(Челябинская область)</t>
  </si>
  <si>
    <t xml:space="preserve">Кириллов С.А., СтаровойтовА.Л.Степанов В.И </t>
  </si>
  <si>
    <t>Чмыхало Н.А., Руднев С.</t>
  </si>
  <si>
    <t>Бакум К.Е.</t>
  </si>
  <si>
    <t>Анасенко А.В.,Адамсон Р.А.</t>
  </si>
  <si>
    <t>Брюханов Даниил</t>
  </si>
  <si>
    <t>Пугачев Дмитрий</t>
  </si>
  <si>
    <t>Шаповалов Евгений</t>
  </si>
  <si>
    <t>Фещенко Владимир</t>
  </si>
  <si>
    <t>в\к</t>
  </si>
  <si>
    <t>Гаджимутелимов Гаджимирза</t>
  </si>
  <si>
    <t>Смирнов Владимир</t>
  </si>
  <si>
    <t>Гуров Владимир</t>
  </si>
  <si>
    <t>ОМСКАЯ ОБЛАСТЬ</t>
  </si>
  <si>
    <t>Г.МОСКВА</t>
  </si>
  <si>
    <t>Чмыхало Н.А.,Хвостов А.В.,Чагаев А.Е.</t>
  </si>
  <si>
    <t>Переверзев Н.И.</t>
  </si>
  <si>
    <t>Кемеровская обл.\ Омская обл.</t>
  </si>
  <si>
    <t>Курганская обл.\ Челябинская обл.</t>
  </si>
  <si>
    <t>Дмитриев А.Г.</t>
  </si>
  <si>
    <t>Ажермачёв А.Б</t>
  </si>
  <si>
    <t>Кемеровская область</t>
  </si>
  <si>
    <t>Гоголев М.Н. Потапов К.И.</t>
  </si>
  <si>
    <t>Гоголев М.Н., Кобзев М.А.</t>
  </si>
  <si>
    <t>Оренбургская область</t>
  </si>
  <si>
    <t>Республика Коми</t>
  </si>
  <si>
    <t>Архангельская область</t>
  </si>
  <si>
    <t>Мурманская область</t>
  </si>
  <si>
    <t>Республика Саха (Якутия)</t>
  </si>
  <si>
    <t>Приморский край</t>
  </si>
  <si>
    <t>Леонов С.Т., Евтушенко Е.Б.,Барсуков А.П.</t>
  </si>
  <si>
    <t>10-12 июня  2017 г.</t>
  </si>
  <si>
    <t>г.Томск, Томская область</t>
  </si>
  <si>
    <t>Департамент по молодежной политике, физической культуре и спорту Томской области</t>
  </si>
  <si>
    <t>Томская Региональная Общественная организация "Федерация гиревого спорта"</t>
  </si>
  <si>
    <t>по гиревому спорту 2017 года</t>
  </si>
  <si>
    <t xml:space="preserve">Главный судья                                    Ажермачев А.Б.  ВК, Томская область </t>
  </si>
  <si>
    <t xml:space="preserve">Главный секретарь                            Романов Р.А. ВК, Томская область              </t>
  </si>
  <si>
    <t>Мартьянов А.В. ВК, Тюменская область</t>
  </si>
  <si>
    <t>Елисеев В.С. ВК, Омская область</t>
  </si>
  <si>
    <t>ЭСТАФЕТА (толчок по длинному циклу)</t>
  </si>
  <si>
    <t xml:space="preserve">Ч Е М П И О Н А Т     Р О С С И И </t>
  </si>
  <si>
    <t>ДВОЕБОРЬЕ</t>
  </si>
  <si>
    <t>Рывок  Сумма ДВ</t>
  </si>
  <si>
    <t>204          232</t>
  </si>
  <si>
    <t>182          229</t>
  </si>
  <si>
    <t>190          229</t>
  </si>
  <si>
    <t>205         236,5</t>
  </si>
  <si>
    <t>206         266</t>
  </si>
  <si>
    <t>Сумма       дв-рья</t>
  </si>
  <si>
    <t>Ком. Очки</t>
  </si>
  <si>
    <t>Весовая категория  до 73 кг.</t>
  </si>
  <si>
    <t>Весовая категория  до 78 кг.</t>
  </si>
  <si>
    <t>211         254</t>
  </si>
  <si>
    <t>210         270</t>
  </si>
  <si>
    <t>Весовая категория свыше 95 кг.</t>
  </si>
  <si>
    <t>Ч Е М П И О Н А Т     Р О С С И И   П О  Г И Р Е В О М У   С П О Р Т У 2017 года</t>
  </si>
  <si>
    <t>Ч Е М П И О Н А Т     Р О С С И И   П О  Г И Р Е В О М У   С П О Р Т У   2017  года</t>
  </si>
  <si>
    <t>ЭСТАФЕТА (классический толчок)</t>
  </si>
  <si>
    <t>Романов Р.А.</t>
  </si>
  <si>
    <t>10-12.06.2017</t>
  </si>
  <si>
    <t>Зайнулин Р.З.</t>
  </si>
  <si>
    <t>Карпова Виктория</t>
  </si>
  <si>
    <t>Волгоградская область</t>
  </si>
  <si>
    <t>Исрапилов Ш.К.</t>
  </si>
  <si>
    <t>Чернятина Анастасия</t>
  </si>
  <si>
    <t>Щербина Джанита</t>
  </si>
  <si>
    <t>Санкт-Петербург</t>
  </si>
  <si>
    <t>Кириллов С.А.</t>
  </si>
  <si>
    <t>Шанин С.А., Кириллов А.С.</t>
  </si>
  <si>
    <t>Поликарпова Екатерина</t>
  </si>
  <si>
    <t>Барбакова Наталья</t>
  </si>
  <si>
    <t>Ретунская Лина</t>
  </si>
  <si>
    <t>Козленко В.Н., Елисеев В.С.</t>
  </si>
  <si>
    <t>Горбунова Наталья</t>
  </si>
  <si>
    <t>Валиев А.З.</t>
  </si>
  <si>
    <t>Васильева Александра</t>
  </si>
  <si>
    <t>Васькина Алина</t>
  </si>
  <si>
    <t>Смоленская область</t>
  </si>
  <si>
    <t>Гопанчук Яна</t>
  </si>
  <si>
    <t>Матвеева Елена</t>
  </si>
  <si>
    <t>Доронин Э.Н.,Чупров П.Н., Бакум К.Е.</t>
  </si>
  <si>
    <t>Мартынова Ирина</t>
  </si>
  <si>
    <t>Маршал</t>
  </si>
  <si>
    <t>Вяткина Вера</t>
  </si>
  <si>
    <t>Сагандыков К.К.</t>
  </si>
  <si>
    <t>Бобришева Екатерина</t>
  </si>
  <si>
    <t>Полянский В.С., Чипизубов А.Н.</t>
  </si>
  <si>
    <t>Шаров Н.Ф.</t>
  </si>
  <si>
    <t>Леонова Екатерина</t>
  </si>
  <si>
    <t>Лесников П.Я.</t>
  </si>
  <si>
    <t>Полякова Полина</t>
  </si>
  <si>
    <t>Шмакова Мария</t>
  </si>
  <si>
    <t>Шмаков Е.А., Мартьянов А.В.</t>
  </si>
  <si>
    <t>Шпартко М.А., Бакум К.Е.</t>
  </si>
  <si>
    <t>Алексанов Кирилл</t>
  </si>
  <si>
    <t>Брянская область</t>
  </si>
  <si>
    <t>Курохтин И.А., Склема Д.С.</t>
  </si>
  <si>
    <t>Денисов И.Н., Лихачев В.А.</t>
  </si>
  <si>
    <t>Назаров Тимофей</t>
  </si>
  <si>
    <t>Коршунов С.Д.</t>
  </si>
  <si>
    <t>Мартьянов А.В., Алтухов Д.В.</t>
  </si>
  <si>
    <t>Жбанов Алексей</t>
  </si>
  <si>
    <t>Барков А.П.</t>
  </si>
  <si>
    <t>Недорезов Василий</t>
  </si>
  <si>
    <t>респ. Бурятия</t>
  </si>
  <si>
    <t>Любимский С.А., Рассадин А.А., Барсуков А.П.</t>
  </si>
  <si>
    <t>Бутенко Евгений</t>
  </si>
  <si>
    <t>Гомонов В.Н.</t>
  </si>
  <si>
    <t>Толстокора Олег</t>
  </si>
  <si>
    <t>Ростовская область</t>
  </si>
  <si>
    <t>Добровольский А.С.</t>
  </si>
  <si>
    <t>Игитханян Руслан</t>
  </si>
  <si>
    <t>Фадеев А.С., Семенов А.Н.</t>
  </si>
  <si>
    <t>Кобзарь Владимир</t>
  </si>
  <si>
    <t>Чеботарев Ю.Ю., Даричев Е.Н., Мартьянов А.В.</t>
  </si>
  <si>
    <t>Кузнецов Данила</t>
  </si>
  <si>
    <t>Москва</t>
  </si>
  <si>
    <t>Крикунов Виталий</t>
  </si>
  <si>
    <t>Жилин А.В., Анасенко А.В.</t>
  </si>
  <si>
    <t>Николаев Алексей</t>
  </si>
  <si>
    <t>Шванев В.Б., Мармазов С.В.</t>
  </si>
  <si>
    <t>Проничев Егор</t>
  </si>
  <si>
    <t>Ажермачев А.Б., Штырев А.А., Беев Н.В.</t>
  </si>
  <si>
    <t>Бажин А.М., Ажемачев А.Б.</t>
  </si>
  <si>
    <t>Кириллов С.А., Коляков Е.В., Катаев И.В.</t>
  </si>
  <si>
    <t>Белгородская область</t>
  </si>
  <si>
    <t>Меркулин С.В., Власов А.П.</t>
  </si>
  <si>
    <t>Коломацкий Алексей</t>
  </si>
  <si>
    <t>Сахаров В.В., Мащенко О.В.</t>
  </si>
  <si>
    <t>Жижикин Алексей</t>
  </si>
  <si>
    <t>Нестеренко Д.В., Ташланов И.С.</t>
  </si>
  <si>
    <t>Черкашин Иван</t>
  </si>
  <si>
    <t>Тимофеев Н.А.</t>
  </si>
  <si>
    <t>Сидельников А.А., Ажермачев А.Б.</t>
  </si>
  <si>
    <t>Дубков Артем</t>
  </si>
  <si>
    <t>Чугаев Д.</t>
  </si>
  <si>
    <t>Карпов Николай</t>
  </si>
  <si>
    <t>Конев А.В.</t>
  </si>
  <si>
    <t>Бабичев Максим</t>
  </si>
  <si>
    <t>Смирнов Алексей</t>
  </si>
  <si>
    <t>Рязанская область</t>
  </si>
  <si>
    <t>Денисенко А.В., Полянский В.С.</t>
  </si>
  <si>
    <t>Литвинко Валерий</t>
  </si>
  <si>
    <t>Семенов А.Н., Кириллов С.А.</t>
  </si>
  <si>
    <t>Латышенко Сергей</t>
  </si>
  <si>
    <t>Бутыч В.В., Блохин И.А.</t>
  </si>
  <si>
    <t>Тутов Алексей</t>
  </si>
  <si>
    <t>Супрунов С.И.</t>
  </si>
  <si>
    <t>Клепиков Артем</t>
  </si>
  <si>
    <t>Новиков Александр</t>
  </si>
  <si>
    <t>Рысник Сергей</t>
  </si>
  <si>
    <t>Елисеев В.С., Переверзев Н.И.</t>
  </si>
  <si>
    <t>Гришаев Николай</t>
  </si>
  <si>
    <t>Суховей А.В., Рачинский С.</t>
  </si>
  <si>
    <t>Авдеев Григорий</t>
  </si>
  <si>
    <t>Нестеренко Д.В., Селиверстов С.В.</t>
  </si>
  <si>
    <t>Дударев Иван</t>
  </si>
  <si>
    <t>Павлов В.Ю.</t>
  </si>
  <si>
    <t>Сеченов Виктор</t>
  </si>
  <si>
    <t>Балабанов Сергей</t>
  </si>
  <si>
    <t>Добровольский А.С., Пастухов И.В.</t>
  </si>
  <si>
    <t>Чмыхало Н.А., Морозов И.</t>
  </si>
  <si>
    <t>Меметов Энвер</t>
  </si>
  <si>
    <t>Эмирасанов Э.К.</t>
  </si>
  <si>
    <t>Сорокин Николай</t>
  </si>
  <si>
    <t>Воропаев В.И., Зюзина О.В.</t>
  </si>
  <si>
    <t>Анасенко А.В., Барсуков А.П.</t>
  </si>
  <si>
    <t>Калистратов Артем</t>
  </si>
  <si>
    <t>Коршунов Сергей</t>
  </si>
  <si>
    <t>Тихомиров Владислав</t>
  </si>
  <si>
    <t>Кириллов С.А., Дубровин Д, Петров В.</t>
  </si>
  <si>
    <t>Кичимаев Николай</t>
  </si>
  <si>
    <t>Кириллов С.А., Семенов А.Н.</t>
  </si>
  <si>
    <t>Хадиев Фаиль</t>
  </si>
  <si>
    <t>респ. Татарстан</t>
  </si>
  <si>
    <t>Горшенин А.П.</t>
  </si>
  <si>
    <t>Донских Александр</t>
  </si>
  <si>
    <t>Ажермачев А.Б., Золотарева А.Ю.</t>
  </si>
  <si>
    <t>Стремедловский Виталий</t>
  </si>
  <si>
    <t>Байкалов Л.И.</t>
  </si>
  <si>
    <t>Насонова Виктория</t>
  </si>
  <si>
    <t>Расказов В.С.</t>
  </si>
  <si>
    <t>9-13 июня  2017 г.</t>
  </si>
  <si>
    <t>Анасенко А.В., Адамсон Р.А.</t>
  </si>
  <si>
    <t>Вахрушев Евгений</t>
  </si>
  <si>
    <t>Санкт-Петербург, Омская область</t>
  </si>
  <si>
    <t>Ф.И.О</t>
  </si>
  <si>
    <t>1</t>
  </si>
  <si>
    <t>2</t>
  </si>
  <si>
    <t>3</t>
  </si>
  <si>
    <t>4</t>
  </si>
  <si>
    <t>5</t>
  </si>
  <si>
    <t>6</t>
  </si>
  <si>
    <t>7</t>
  </si>
  <si>
    <t>8</t>
  </si>
  <si>
    <t>Установлен новый рекорд России Рябков Алексей-73 подъема.</t>
  </si>
  <si>
    <t>Ховалко Василий</t>
  </si>
  <si>
    <t>Дымов Дмитрий</t>
  </si>
  <si>
    <t>Дереглазов Семен</t>
  </si>
  <si>
    <t>Айдбаев Ильфат</t>
  </si>
  <si>
    <t>Бежко Павел</t>
  </si>
  <si>
    <t>республика Крым</t>
  </si>
  <si>
    <t>Бенидзе Джони</t>
  </si>
  <si>
    <t>Ярославская оласть</t>
  </si>
  <si>
    <t>Анасенко А.В., Донских А.И.</t>
  </si>
  <si>
    <t>Иванов Д.С.</t>
  </si>
  <si>
    <t>Ажермачев А.Б., Чепуштанов И.В.</t>
  </si>
  <si>
    <t>Колмаков С.И.</t>
  </si>
  <si>
    <t>Верещагин С.И., Трофимов М.А.</t>
  </si>
  <si>
    <t>Кириллов С.А., Огарев В.Я.</t>
  </si>
  <si>
    <t>9</t>
  </si>
  <si>
    <t>10</t>
  </si>
  <si>
    <t>11</t>
  </si>
  <si>
    <t>12</t>
  </si>
  <si>
    <t>Алексанян Давид</t>
  </si>
  <si>
    <t>Мазиков Сергей</t>
  </si>
  <si>
    <t>Бажин А.М.</t>
  </si>
  <si>
    <t>13</t>
  </si>
  <si>
    <t>Установлен новый рекорд России Чуев Павел-84 подъема.</t>
  </si>
  <si>
    <t>+МС</t>
  </si>
  <si>
    <t>Республика Татарстан</t>
  </si>
  <si>
    <t>Установлен новый рекорд России Яременко Ольга-196 подъемов.</t>
  </si>
  <si>
    <t>Борисов Михаил</t>
  </si>
  <si>
    <t>Андреева Анастасия</t>
  </si>
  <si>
    <t>Ажермачев А.Б., Денисенко А.В.</t>
  </si>
  <si>
    <t>Цибулевич Елена</t>
  </si>
  <si>
    <t>Полянский В.С.</t>
  </si>
  <si>
    <t>Фатнева Мария</t>
  </si>
  <si>
    <t>Банников А.В.</t>
  </si>
  <si>
    <t>Мерзлякова Виктория</t>
  </si>
  <si>
    <t>Полянский В.С., Ажермачев А.Б.</t>
  </si>
  <si>
    <t>Еремкина Ксения</t>
  </si>
  <si>
    <t>Полянский В.С., Покатилова А.К.</t>
  </si>
  <si>
    <t>Чувашская республика</t>
  </si>
  <si>
    <t>Установлен новый Рекорд России Мартынова Ирина-194 подъема</t>
  </si>
  <si>
    <t xml:space="preserve"> ЧЕЛЯБИНСКАЯ ОБЛАСТЬ</t>
  </si>
  <si>
    <t>Мелехин Н.В., Нестеренко Д.В.</t>
  </si>
  <si>
    <t>Установлен новый рекорд России команда Санкт-Петербург-169 подъемов.</t>
  </si>
  <si>
    <t>НЦВСМ</t>
  </si>
  <si>
    <t>Петровичев Дмитрий</t>
  </si>
  <si>
    <t>республика Татарстан</t>
  </si>
  <si>
    <t>Шакиров Ж.В.</t>
  </si>
  <si>
    <t>Белошапкин Максим</t>
  </si>
  <si>
    <t>Позняковский С.М.</t>
  </si>
  <si>
    <t>Платонов Семен</t>
  </si>
  <si>
    <t>Шевелев Д.В., Платонов С.Г.</t>
  </si>
  <si>
    <t>СШ"Маршал"</t>
  </si>
  <si>
    <t>Санк-Петербург</t>
  </si>
  <si>
    <t>Сутягин Валетин</t>
  </si>
  <si>
    <t>Каргин Сергей</t>
  </si>
  <si>
    <t>республика Бурятия</t>
  </si>
  <si>
    <t>Каргин Я.Л.</t>
  </si>
  <si>
    <t>Никитин Геннадий</t>
  </si>
  <si>
    <t>Волосач Александр</t>
  </si>
  <si>
    <t>СК "Союз"</t>
  </si>
  <si>
    <t>Щеков И.Г., Анасенко А.В.</t>
  </si>
  <si>
    <t>Чмыхало Н.А., Руднев С.А.</t>
  </si>
  <si>
    <t>Бажин А.М, Ажермачев А.Б.</t>
  </si>
  <si>
    <t>Миронов Максим</t>
  </si>
  <si>
    <t>Чепуштанов И.В</t>
  </si>
  <si>
    <t>Ермолаев Владислав</t>
  </si>
  <si>
    <t>Денисенко А.В., Ажермачев А.Б.</t>
  </si>
  <si>
    <t>Переверзев Н.И., Хозей С.П.</t>
  </si>
  <si>
    <t>Нестеренко Д.В., Денисов И.Н.</t>
  </si>
  <si>
    <t>Никонов Анатолий</t>
  </si>
  <si>
    <t>Иванов Алексей</t>
  </si>
  <si>
    <t>республика Чувашия</t>
  </si>
  <si>
    <t>Глинкин Б.Н., Петров М.В.</t>
  </si>
  <si>
    <t>Ажермачев А.Б</t>
  </si>
  <si>
    <t>Квашнин Михаил</t>
  </si>
  <si>
    <t>Хвостов А.В., Чагаев А.Е.</t>
  </si>
  <si>
    <t>Бурятия-Тюмень</t>
  </si>
  <si>
    <t>Балдин Александр</t>
  </si>
  <si>
    <t>Самарская область</t>
  </si>
  <si>
    <t>Ковалевский А.А.</t>
  </si>
  <si>
    <t>Янголенко Даниил</t>
  </si>
  <si>
    <t>Самочернов Иван</t>
  </si>
  <si>
    <t>Брагин В.Н., Колобов Е.В.</t>
  </si>
  <si>
    <t>Денисов И.Н.</t>
  </si>
  <si>
    <t>Майков Станислав</t>
  </si>
  <si>
    <t>Дубровин Дмитрий</t>
  </si>
  <si>
    <t>Денисов И.Н., Дмитриев А.Г.</t>
  </si>
  <si>
    <t>Гоголев М.Н., Потапов К.И.</t>
  </si>
  <si>
    <t>Черкашин Дмитрий</t>
  </si>
  <si>
    <t>Сидорко Виталий</t>
  </si>
  <si>
    <t>Турищев Дмитрий</t>
  </si>
  <si>
    <t>Бирюков А.С.</t>
  </si>
  <si>
    <t>Карасев Павел</t>
  </si>
  <si>
    <t>Абдуллин Р.Р., Гиниатуллин А.З.</t>
  </si>
  <si>
    <t>Вдовенко Александр</t>
  </si>
  <si>
    <t>Морозов Игорь</t>
  </si>
  <si>
    <t>СКА С.-П.</t>
  </si>
  <si>
    <t>Чмыхало Н.А., Морозов В.А., Бутенко А.А.</t>
  </si>
  <si>
    <t>Квасков Эдуард</t>
  </si>
  <si>
    <t>Полетаев Н.И., Полетаев Ф.И.</t>
  </si>
  <si>
    <t>Брюханов Данила</t>
  </si>
  <si>
    <t>Анасенко А.В., Семенов М.М.</t>
  </si>
  <si>
    <t>Колонжов Виталий</t>
  </si>
  <si>
    <t>Марков Иван</t>
  </si>
  <si>
    <t>Зыбайло Александр</t>
  </si>
  <si>
    <t>Демышев Егор</t>
  </si>
  <si>
    <t>Овсянников Егор</t>
  </si>
  <si>
    <t>Петроченко В.М.</t>
  </si>
  <si>
    <t>МАИ</t>
  </si>
  <si>
    <t>Макаричев С.С., Тарасов А.И.</t>
  </si>
  <si>
    <t>Василевский Дмитрий</t>
  </si>
  <si>
    <t>Липецкая область</t>
  </si>
  <si>
    <t>Макаричев С.С.</t>
  </si>
  <si>
    <t>Установлен новый рекорд России в упражнении толчок Квашнин Михаил - 151 подъем.</t>
  </si>
  <si>
    <t>Установлен новый рекорд России в сумме двоеборья Смирнов Владимир - 234 очка.</t>
  </si>
  <si>
    <t xml:space="preserve">республика Бурятия </t>
  </si>
  <si>
    <t>14</t>
  </si>
  <si>
    <t>Установлен новый рекорд России в сумме двоеборья Квашнин Михаил - 244 очка.</t>
  </si>
  <si>
    <t>117,70</t>
  </si>
  <si>
    <t>78,10</t>
  </si>
  <si>
    <t>84,15</t>
  </si>
  <si>
    <t>84,75</t>
  </si>
  <si>
    <t>84,90</t>
  </si>
  <si>
    <t>85,00</t>
  </si>
  <si>
    <t>81,00</t>
  </si>
  <si>
    <t>84,85</t>
  </si>
  <si>
    <t>84,10</t>
  </si>
  <si>
    <t>84,70</t>
  </si>
  <si>
    <t>84,30</t>
  </si>
  <si>
    <t>89,95</t>
  </si>
  <si>
    <t>92,30</t>
  </si>
  <si>
    <t>87,55</t>
  </si>
  <si>
    <t>91,80</t>
  </si>
  <si>
    <t>92,90</t>
  </si>
  <si>
    <t>125,25</t>
  </si>
  <si>
    <t>101,30</t>
  </si>
  <si>
    <t>81,80</t>
  </si>
  <si>
    <t>93,70</t>
  </si>
  <si>
    <t>94,20</t>
  </si>
  <si>
    <t>90,65</t>
  </si>
  <si>
    <t>94,85</t>
  </si>
  <si>
    <t>94,45</t>
  </si>
  <si>
    <t>95,35</t>
  </si>
  <si>
    <t>98,25</t>
  </si>
  <si>
    <t>97,45</t>
  </si>
  <si>
    <t>104,90</t>
  </si>
  <si>
    <t>95,25</t>
  </si>
  <si>
    <t>НОВОСИБИРСКАЯ ОБЛАСТЬ</t>
  </si>
  <si>
    <t>Кириллов С.А., Фадеев А.С., 
Семенов А.Н.</t>
  </si>
  <si>
    <t>Бородынкин Олег</t>
  </si>
  <si>
    <t>Андриенко Максим</t>
  </si>
  <si>
    <t>Баер П.А., Баев А.Е.</t>
  </si>
  <si>
    <t>Комаров В.П.</t>
  </si>
  <si>
    <t>Бобришева Е.К.</t>
  </si>
  <si>
    <t>Кемеровская обл.</t>
  </si>
  <si>
    <t>Меркулин С.В.</t>
  </si>
  <si>
    <t>Гиниатулин А.З.</t>
  </si>
  <si>
    <t>р.Татарстан</t>
  </si>
  <si>
    <t>Полетаев Н.И.</t>
  </si>
  <si>
    <t>Верниковский В.К.</t>
  </si>
  <si>
    <t>Новосибирская обл.</t>
  </si>
  <si>
    <t>р.Крым</t>
  </si>
  <si>
    <t>Сорокин Н.Н.</t>
  </si>
  <si>
    <t>Дергунов В.Г.</t>
  </si>
  <si>
    <t>Опшин В.Г.</t>
  </si>
  <si>
    <t>Шевелев Д.В.</t>
  </si>
  <si>
    <t>Савлова В.И.</t>
  </si>
  <si>
    <t>Иваненко Т.Е</t>
  </si>
  <si>
    <t>Покатилова А.К.</t>
  </si>
  <si>
    <t>Горбунова Н.К.</t>
  </si>
  <si>
    <t>Беляев И</t>
  </si>
  <si>
    <t>Чуев П.В.</t>
  </si>
  <si>
    <t>Каньшин А.Е.</t>
  </si>
  <si>
    <t>08-12.06.2017</t>
  </si>
  <si>
    <t>Отлично</t>
  </si>
  <si>
    <t>09-12.06.2017</t>
  </si>
  <si>
    <t>Хорошо</t>
  </si>
  <si>
    <t>09-12.06. 2017</t>
  </si>
  <si>
    <t>Койше К.К.</t>
  </si>
  <si>
    <t>Лесных П.А.</t>
  </si>
  <si>
    <t>Баев К.С.</t>
  </si>
  <si>
    <t>Каплюк В.П.</t>
  </si>
  <si>
    <t>Бахов С.</t>
  </si>
  <si>
    <t>+МСМК</t>
  </si>
  <si>
    <t>27-28</t>
  </si>
  <si>
    <t>30-31</t>
  </si>
  <si>
    <t>33-44</t>
  </si>
  <si>
    <t>Расказов В.С., ВК Липецкая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</si>
</sst>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6" x14ac:knownFonts="1"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</font>
    <font>
      <sz val="10"/>
      <name val="Arial Cyr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0"/>
      <color indexed="10"/>
      <name val="Arial Cyr"/>
      <family val="2"/>
      <charset val="204"/>
    </font>
    <font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8"/>
      <name val="Arial Cyr"/>
      <charset val="204"/>
    </font>
    <font>
      <i/>
      <sz val="1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20"/>
      <name val="Times New Roman"/>
      <family val="1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sz val="12"/>
      <name val="Arial Cyr"/>
      <family val="2"/>
      <charset val="204"/>
    </font>
    <font>
      <sz val="12"/>
      <color indexed="8"/>
      <name val="Calibri"/>
      <family val="2"/>
      <charset val="204"/>
    </font>
    <font>
      <i/>
      <sz val="11"/>
      <name val="Times New Roman"/>
      <family val="1"/>
      <charset val="204"/>
    </font>
    <font>
      <b/>
      <sz val="10"/>
      <name val="Arial Cyr"/>
      <charset val="204"/>
    </font>
    <font>
      <sz val="8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Arial Cyr"/>
      <family val="2"/>
      <charset val="204"/>
    </font>
    <font>
      <sz val="10"/>
      <color indexed="8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Arial Cyr"/>
      <family val="2"/>
      <charset val="204"/>
    </font>
    <font>
      <sz val="11"/>
      <name val="Arial Cyr"/>
      <family val="2"/>
      <charset val="204"/>
    </font>
    <font>
      <sz val="11"/>
      <color indexed="8"/>
      <name val="Times New Roman"/>
      <family val="1"/>
      <charset val="204"/>
    </font>
    <font>
      <sz val="11"/>
      <name val="Arial Cyr"/>
      <charset val="204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7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5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4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9" fontId="1" fillId="0" borderId="0" applyFont="0" applyFill="0" applyBorder="0" applyAlignment="0" applyProtection="0"/>
  </cellStyleXfs>
  <cellXfs count="1109">
    <xf numFmtId="0" fontId="0" fillId="0" borderId="0" xfId="0"/>
    <xf numFmtId="0" fontId="4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/>
    <xf numFmtId="0" fontId="2" fillId="2" borderId="9" xfId="0" applyFont="1" applyFill="1" applyBorder="1" applyAlignment="1">
      <alignment horizontal="center"/>
    </xf>
    <xf numFmtId="0" fontId="4" fillId="2" borderId="10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ont="1" applyFill="1"/>
    <xf numFmtId="0" fontId="4" fillId="2" borderId="1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/>
    </xf>
    <xf numFmtId="0" fontId="4" fillId="2" borderId="2" xfId="2" applyFont="1" applyFill="1" applyBorder="1" applyAlignment="1">
      <alignment horizontal="center" vertical="center"/>
    </xf>
    <xf numFmtId="0" fontId="4" fillId="2" borderId="10" xfId="2" applyFont="1" applyFill="1" applyBorder="1" applyAlignment="1"/>
    <xf numFmtId="2" fontId="4" fillId="2" borderId="2" xfId="2" applyNumberFormat="1" applyFont="1" applyFill="1" applyBorder="1" applyAlignment="1">
      <alignment horizontal="center" vertical="center"/>
    </xf>
    <xf numFmtId="0" fontId="4" fillId="2" borderId="11" xfId="2" applyFont="1" applyFill="1" applyBorder="1" applyAlignment="1"/>
    <xf numFmtId="0" fontId="4" fillId="2" borderId="12" xfId="2" applyFont="1" applyFill="1" applyBorder="1" applyAlignment="1">
      <alignment horizontal="center" vertical="center"/>
    </xf>
    <xf numFmtId="2" fontId="4" fillId="2" borderId="12" xfId="2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2" fillId="0" borderId="0" xfId="0" applyFont="1" applyBorder="1" applyAlignment="1"/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9" xfId="2" applyFont="1" applyFill="1" applyBorder="1" applyAlignment="1"/>
    <xf numFmtId="0" fontId="4" fillId="2" borderId="13" xfId="2" applyFont="1" applyFill="1" applyBorder="1" applyAlignment="1"/>
    <xf numFmtId="0" fontId="4" fillId="2" borderId="13" xfId="2" applyFont="1" applyFill="1" applyBorder="1" applyAlignment="1">
      <alignment horizontal="center" vertical="center"/>
    </xf>
    <xf numFmtId="0" fontId="4" fillId="2" borderId="14" xfId="2" applyFont="1" applyFill="1" applyBorder="1" applyAlignment="1"/>
    <xf numFmtId="0" fontId="13" fillId="2" borderId="0" xfId="0" applyFont="1" applyFill="1" applyBorder="1" applyAlignment="1">
      <alignment wrapText="1"/>
    </xf>
    <xf numFmtId="0" fontId="13" fillId="2" borderId="0" xfId="0" applyFont="1" applyFill="1" applyBorder="1" applyAlignment="1">
      <alignment horizontal="center" wrapText="1"/>
    </xf>
    <xf numFmtId="0" fontId="4" fillId="2" borderId="9" xfId="0" applyFont="1" applyFill="1" applyBorder="1" applyAlignment="1"/>
    <xf numFmtId="0" fontId="4" fillId="2" borderId="13" xfId="0" applyFont="1" applyFill="1" applyBorder="1" applyAlignment="1"/>
    <xf numFmtId="49" fontId="4" fillId="2" borderId="1" xfId="2" applyNumberFormat="1" applyFont="1" applyFill="1" applyBorder="1" applyAlignment="1">
      <alignment horizontal="center" vertical="center"/>
    </xf>
    <xf numFmtId="0" fontId="14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3" borderId="0" xfId="0" applyFont="1" applyFill="1"/>
    <xf numFmtId="0" fontId="4" fillId="2" borderId="1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vertical="center"/>
    </xf>
    <xf numFmtId="0" fontId="4" fillId="2" borderId="14" xfId="2" applyFont="1" applyFill="1" applyBorder="1" applyAlignment="1">
      <alignment vertical="center"/>
    </xf>
    <xf numFmtId="0" fontId="15" fillId="0" borderId="16" xfId="0" applyFont="1" applyBorder="1" applyAlignment="1"/>
    <xf numFmtId="0" fontId="0" fillId="0" borderId="0" xfId="0" applyFont="1" applyAlignment="1"/>
    <xf numFmtId="0" fontId="11" fillId="0" borderId="0" xfId="5" applyFont="1" applyAlignment="1">
      <alignment horizontal="center"/>
    </xf>
    <xf numFmtId="0" fontId="11" fillId="0" borderId="0" xfId="5"/>
    <xf numFmtId="0" fontId="41" fillId="0" borderId="0" xfId="14"/>
    <xf numFmtId="0" fontId="11" fillId="0" borderId="0" xfId="5" applyAlignment="1">
      <alignment horizontal="left"/>
    </xf>
    <xf numFmtId="0" fontId="11" fillId="0" borderId="0" xfId="5" applyFont="1" applyAlignment="1"/>
    <xf numFmtId="0" fontId="16" fillId="0" borderId="0" xfId="5" applyFont="1" applyBorder="1" applyAlignment="1">
      <alignment horizontal="center"/>
    </xf>
    <xf numFmtId="0" fontId="13" fillId="0" borderId="0" xfId="5" applyFont="1" applyBorder="1" applyAlignment="1"/>
    <xf numFmtId="0" fontId="13" fillId="0" borderId="0" xfId="5" applyNumberFormat="1" applyFont="1" applyBorder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7" fillId="0" borderId="0" xfId="14" applyFont="1" applyAlignment="1">
      <alignment horizontal="right"/>
    </xf>
    <xf numFmtId="0" fontId="11" fillId="0" borderId="0" xfId="5" applyFont="1" applyBorder="1" applyAlignment="1">
      <alignment horizontal="center" vertical="center"/>
    </xf>
    <xf numFmtId="49" fontId="11" fillId="0" borderId="0" xfId="5" applyNumberFormat="1" applyFont="1" applyBorder="1" applyAlignment="1">
      <alignment horizontal="center" vertical="center"/>
    </xf>
    <xf numFmtId="0" fontId="18" fillId="0" borderId="0" xfId="5" applyFont="1" applyBorder="1" applyAlignment="1"/>
    <xf numFmtId="0" fontId="19" fillId="0" borderId="0" xfId="5" applyFont="1" applyAlignment="1"/>
    <xf numFmtId="0" fontId="2" fillId="0" borderId="7" xfId="9" applyFont="1" applyBorder="1" applyAlignment="1"/>
    <xf numFmtId="0" fontId="20" fillId="0" borderId="0" xfId="14" applyFont="1"/>
    <xf numFmtId="0" fontId="4" fillId="0" borderId="0" xfId="9" applyFont="1"/>
    <xf numFmtId="0" fontId="9" fillId="0" borderId="17" xfId="9" applyFont="1" applyBorder="1" applyAlignment="1">
      <alignment horizontal="center" vertical="center"/>
    </xf>
    <xf numFmtId="0" fontId="9" fillId="0" borderId="18" xfId="9" applyFont="1" applyBorder="1" applyAlignment="1">
      <alignment horizontal="center" vertical="center"/>
    </xf>
    <xf numFmtId="0" fontId="9" fillId="0" borderId="18" xfId="9" applyFont="1" applyBorder="1" applyAlignment="1">
      <alignment horizontal="center" vertical="center" wrapText="1"/>
    </xf>
    <xf numFmtId="0" fontId="9" fillId="0" borderId="19" xfId="9" applyFont="1" applyFill="1" applyBorder="1" applyAlignment="1">
      <alignment horizontal="center" vertical="center" wrapText="1"/>
    </xf>
    <xf numFmtId="0" fontId="15" fillId="0" borderId="20" xfId="13" applyFont="1" applyBorder="1" applyAlignment="1">
      <alignment horizontal="center"/>
    </xf>
    <xf numFmtId="0" fontId="15" fillId="0" borderId="21" xfId="13" applyFont="1" applyBorder="1" applyAlignment="1">
      <alignment horizontal="left"/>
    </xf>
    <xf numFmtId="0" fontId="15" fillId="0" borderId="21" xfId="13" applyFont="1" applyBorder="1" applyAlignment="1">
      <alignment horizontal="center"/>
    </xf>
    <xf numFmtId="0" fontId="15" fillId="0" borderId="21" xfId="7" applyFont="1" applyBorder="1" applyAlignment="1">
      <alignment horizontal="center" vertical="center"/>
    </xf>
    <xf numFmtId="0" fontId="15" fillId="0" borderId="2" xfId="13" applyFont="1" applyBorder="1" applyAlignment="1">
      <alignment horizontal="center" vertical="center"/>
    </xf>
    <xf numFmtId="0" fontId="15" fillId="0" borderId="2" xfId="13" applyFont="1" applyBorder="1" applyAlignment="1">
      <alignment horizontal="left" vertical="center"/>
    </xf>
    <xf numFmtId="0" fontId="15" fillId="0" borderId="2" xfId="13" applyNumberFormat="1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/>
    </xf>
    <xf numFmtId="0" fontId="15" fillId="0" borderId="2" xfId="13" applyFont="1" applyBorder="1" applyAlignment="1"/>
    <xf numFmtId="0" fontId="9" fillId="0" borderId="2" xfId="0" applyFont="1" applyBorder="1" applyAlignment="1">
      <alignment horizontal="center" vertical="center" wrapText="1"/>
    </xf>
    <xf numFmtId="0" fontId="15" fillId="0" borderId="2" xfId="13" applyFont="1" applyBorder="1" applyAlignment="1">
      <alignment horizontal="center" vertical="center" shrinkToFit="1"/>
    </xf>
    <xf numFmtId="0" fontId="15" fillId="0" borderId="12" xfId="13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0" fontId="15" fillId="0" borderId="22" xfId="13" applyFont="1" applyBorder="1" applyAlignment="1">
      <alignment horizontal="center" vertical="center"/>
    </xf>
    <xf numFmtId="0" fontId="15" fillId="0" borderId="23" xfId="13" applyFont="1" applyBorder="1" applyAlignment="1">
      <alignment horizontal="center"/>
    </xf>
    <xf numFmtId="0" fontId="15" fillId="0" borderId="24" xfId="13" applyFont="1" applyBorder="1" applyAlignment="1"/>
    <xf numFmtId="0" fontId="15" fillId="0" borderId="23" xfId="13" applyNumberFormat="1" applyFont="1" applyBorder="1" applyAlignment="1">
      <alignment horizontal="center" vertical="center"/>
    </xf>
    <xf numFmtId="0" fontId="15" fillId="0" borderId="23" xfId="7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2" fontId="13" fillId="0" borderId="25" xfId="9" applyNumberFormat="1" applyFont="1" applyBorder="1" applyAlignment="1">
      <alignment horizontal="center"/>
    </xf>
    <xf numFmtId="0" fontId="2" fillId="0" borderId="25" xfId="13" applyFont="1" applyBorder="1" applyAlignment="1">
      <alignment horizontal="center"/>
    </xf>
    <xf numFmtId="0" fontId="24" fillId="0" borderId="0" xfId="5" applyFont="1" applyAlignment="1"/>
    <xf numFmtId="0" fontId="13" fillId="0" borderId="0" xfId="0" applyFont="1" applyAlignment="1"/>
    <xf numFmtId="0" fontId="17" fillId="0" borderId="0" xfId="14" applyFont="1"/>
    <xf numFmtId="0" fontId="2" fillId="0" borderId="7" xfId="11" applyFont="1" applyBorder="1" applyAlignment="1"/>
    <xf numFmtId="0" fontId="4" fillId="0" borderId="0" xfId="11" applyFont="1"/>
    <xf numFmtId="0" fontId="22" fillId="0" borderId="26" xfId="11" applyFont="1" applyBorder="1" applyAlignment="1">
      <alignment horizontal="center" vertical="center"/>
    </xf>
    <xf numFmtId="0" fontId="15" fillId="0" borderId="27" xfId="11" applyFont="1" applyBorder="1" applyAlignment="1">
      <alignment horizontal="center" vertical="center"/>
    </xf>
    <xf numFmtId="0" fontId="15" fillId="0" borderId="28" xfId="11" applyFont="1" applyBorder="1" applyAlignment="1">
      <alignment horizontal="center"/>
    </xf>
    <xf numFmtId="0" fontId="15" fillId="0" borderId="27" xfId="11" applyFont="1" applyBorder="1" applyAlignment="1">
      <alignment horizontal="left"/>
    </xf>
    <xf numFmtId="0" fontId="15" fillId="0" borderId="27" xfId="11" applyFont="1" applyBorder="1" applyAlignment="1">
      <alignment horizontal="center"/>
    </xf>
    <xf numFmtId="0" fontId="15" fillId="0" borderId="27" xfId="7" applyFont="1" applyBorder="1" applyAlignment="1">
      <alignment horizontal="center" vertical="center"/>
    </xf>
    <xf numFmtId="0" fontId="22" fillId="0" borderId="30" xfId="11" applyFont="1" applyBorder="1" applyAlignment="1">
      <alignment horizontal="center" vertical="center"/>
    </xf>
    <xf numFmtId="0" fontId="15" fillId="0" borderId="2" xfId="11" applyFont="1" applyBorder="1" applyAlignment="1">
      <alignment horizontal="center" vertical="center"/>
    </xf>
    <xf numFmtId="0" fontId="15" fillId="0" borderId="12" xfId="11" applyFont="1" applyBorder="1" applyAlignment="1">
      <alignment horizontal="center" vertical="center"/>
    </xf>
    <xf numFmtId="0" fontId="15" fillId="2" borderId="32" xfId="11" applyFont="1" applyFill="1" applyBorder="1" applyAlignment="1">
      <alignment horizontal="left" vertical="center"/>
    </xf>
    <xf numFmtId="0" fontId="15" fillId="0" borderId="2" xfId="11" applyFont="1" applyBorder="1" applyAlignment="1">
      <alignment horizontal="center" vertical="center" shrinkToFit="1"/>
    </xf>
    <xf numFmtId="0" fontId="22" fillId="0" borderId="33" xfId="11" applyFont="1" applyBorder="1" applyAlignment="1">
      <alignment horizontal="center" vertical="center"/>
    </xf>
    <xf numFmtId="0" fontId="15" fillId="0" borderId="22" xfId="11" applyFont="1" applyBorder="1" applyAlignment="1">
      <alignment horizontal="center" vertical="center"/>
    </xf>
    <xf numFmtId="0" fontId="15" fillId="0" borderId="23" xfId="11" applyFont="1" applyBorder="1" applyAlignment="1">
      <alignment horizontal="center"/>
    </xf>
    <xf numFmtId="0" fontId="15" fillId="0" borderId="23" xfId="11" applyNumberFormat="1" applyFont="1" applyBorder="1" applyAlignment="1">
      <alignment horizontal="center" vertical="center"/>
    </xf>
    <xf numFmtId="0" fontId="15" fillId="0" borderId="22" xfId="7" applyFont="1" applyBorder="1" applyAlignment="1">
      <alignment horizontal="center" vertical="center"/>
    </xf>
    <xf numFmtId="2" fontId="13" fillId="0" borderId="25" xfId="11" applyNumberFormat="1" applyFont="1" applyBorder="1" applyAlignment="1">
      <alignment horizontal="center"/>
    </xf>
    <xf numFmtId="0" fontId="2" fillId="0" borderId="7" xfId="16" applyFont="1" applyBorder="1" applyAlignment="1"/>
    <xf numFmtId="0" fontId="4" fillId="0" borderId="0" xfId="16" applyFont="1"/>
    <xf numFmtId="0" fontId="9" fillId="0" borderId="17" xfId="16" applyFont="1" applyBorder="1" applyAlignment="1">
      <alignment horizontal="center" vertical="center"/>
    </xf>
    <xf numFmtId="0" fontId="9" fillId="0" borderId="18" xfId="16" applyFont="1" applyBorder="1" applyAlignment="1">
      <alignment horizontal="center" vertical="center"/>
    </xf>
    <xf numFmtId="0" fontId="9" fillId="0" borderId="18" xfId="16" applyFont="1" applyBorder="1" applyAlignment="1">
      <alignment horizontal="center" vertical="center" wrapText="1"/>
    </xf>
    <xf numFmtId="0" fontId="9" fillId="0" borderId="19" xfId="16" applyFont="1" applyFill="1" applyBorder="1" applyAlignment="1">
      <alignment horizontal="center" vertical="center" wrapText="1"/>
    </xf>
    <xf numFmtId="0" fontId="13" fillId="0" borderId="27" xfId="9" applyFont="1" applyBorder="1" applyAlignment="1">
      <alignment horizontal="center" vertical="center"/>
    </xf>
    <xf numFmtId="0" fontId="15" fillId="0" borderId="37" xfId="0" applyFont="1" applyBorder="1" applyAlignment="1"/>
    <xf numFmtId="0" fontId="13" fillId="0" borderId="2" xfId="9" applyFont="1" applyBorder="1" applyAlignment="1">
      <alignment horizontal="center" vertical="center"/>
    </xf>
    <xf numFmtId="2" fontId="15" fillId="0" borderId="38" xfId="0" applyNumberFormat="1" applyFont="1" applyBorder="1" applyAlignment="1">
      <alignment horizontal="center" vertical="center"/>
    </xf>
    <xf numFmtId="0" fontId="15" fillId="0" borderId="31" xfId="0" applyFont="1" applyBorder="1" applyAlignment="1"/>
    <xf numFmtId="0" fontId="15" fillId="0" borderId="31" xfId="0" applyFont="1" applyBorder="1" applyAlignment="1">
      <alignment horizontal="left"/>
    </xf>
    <xf numFmtId="0" fontId="13" fillId="0" borderId="22" xfId="9" applyFont="1" applyBorder="1" applyAlignment="1">
      <alignment horizontal="center" vertical="center"/>
    </xf>
    <xf numFmtId="0" fontId="2" fillId="0" borderId="0" xfId="16" applyFont="1" applyBorder="1" applyAlignment="1">
      <alignment horizontal="right"/>
    </xf>
    <xf numFmtId="0" fontId="4" fillId="0" borderId="39" xfId="16" applyFont="1" applyBorder="1" applyAlignment="1"/>
    <xf numFmtId="0" fontId="2" fillId="0" borderId="7" xfId="13" applyFont="1" applyBorder="1" applyAlignment="1"/>
    <xf numFmtId="0" fontId="4" fillId="0" borderId="0" xfId="13" applyFont="1"/>
    <xf numFmtId="0" fontId="9" fillId="0" borderId="17" xfId="13" applyFont="1" applyBorder="1" applyAlignment="1">
      <alignment horizontal="center" vertical="center"/>
    </xf>
    <xf numFmtId="0" fontId="9" fillId="0" borderId="18" xfId="13" applyFont="1" applyBorder="1" applyAlignment="1">
      <alignment horizontal="center" vertical="center"/>
    </xf>
    <xf numFmtId="0" fontId="9" fillId="0" borderId="18" xfId="13" applyFont="1" applyBorder="1" applyAlignment="1">
      <alignment horizontal="center" vertical="center" wrapText="1"/>
    </xf>
    <xf numFmtId="0" fontId="9" fillId="0" borderId="19" xfId="13" applyFont="1" applyFill="1" applyBorder="1" applyAlignment="1">
      <alignment horizontal="center" vertical="center" wrapText="1"/>
    </xf>
    <xf numFmtId="0" fontId="15" fillId="0" borderId="28" xfId="7" applyFont="1" applyBorder="1" applyAlignment="1">
      <alignment horizontal="center"/>
    </xf>
    <xf numFmtId="0" fontId="15" fillId="0" borderId="40" xfId="7" applyFont="1" applyBorder="1" applyAlignment="1">
      <alignment horizontal="center"/>
    </xf>
    <xf numFmtId="0" fontId="15" fillId="0" borderId="12" xfId="7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 shrinkToFit="1"/>
    </xf>
    <xf numFmtId="0" fontId="15" fillId="0" borderId="23" xfId="7" applyFont="1" applyBorder="1" applyAlignment="1">
      <alignment horizontal="center"/>
    </xf>
    <xf numFmtId="0" fontId="15" fillId="0" borderId="23" xfId="7" applyNumberFormat="1" applyFont="1" applyBorder="1" applyAlignment="1">
      <alignment horizontal="center" vertical="center"/>
    </xf>
    <xf numFmtId="2" fontId="13" fillId="0" borderId="25" xfId="13" applyNumberFormat="1" applyFont="1" applyBorder="1" applyAlignment="1">
      <alignment horizontal="center"/>
    </xf>
    <xf numFmtId="0" fontId="15" fillId="0" borderId="27" xfId="13" applyFont="1" applyBorder="1" applyAlignment="1">
      <alignment horizontal="center" vertical="center"/>
    </xf>
    <xf numFmtId="0" fontId="22" fillId="0" borderId="30" xfId="9" applyFont="1" applyBorder="1" applyAlignment="1">
      <alignment horizontal="center" vertical="center"/>
    </xf>
    <xf numFmtId="0" fontId="15" fillId="0" borderId="2" xfId="13" applyFont="1" applyBorder="1" applyAlignment="1">
      <alignment horizontal="center"/>
    </xf>
    <xf numFmtId="0" fontId="15" fillId="0" borderId="2" xfId="13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22" fillId="0" borderId="33" xfId="9" applyFont="1" applyBorder="1" applyAlignment="1">
      <alignment horizontal="center" vertical="center"/>
    </xf>
    <xf numFmtId="0" fontId="15" fillId="0" borderId="41" xfId="13" applyFont="1" applyBorder="1" applyAlignment="1"/>
    <xf numFmtId="0" fontId="26" fillId="0" borderId="0" xfId="14" applyFont="1"/>
    <xf numFmtId="0" fontId="2" fillId="0" borderId="0" xfId="0" applyFont="1" applyAlignment="1">
      <alignment horizontal="center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0" fillId="2" borderId="0" xfId="0" applyFill="1"/>
    <xf numFmtId="49" fontId="4" fillId="2" borderId="2" xfId="0" applyNumberFormat="1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1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/>
    </xf>
    <xf numFmtId="0" fontId="11" fillId="2" borderId="0" xfId="2" applyFont="1" applyFill="1" applyBorder="1"/>
    <xf numFmtId="0" fontId="13" fillId="0" borderId="0" xfId="0" applyFont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left" vertical="center"/>
    </xf>
    <xf numFmtId="0" fontId="18" fillId="2" borderId="0" xfId="2" applyFont="1" applyFill="1" applyBorder="1"/>
    <xf numFmtId="0" fontId="11" fillId="2" borderId="0" xfId="2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/>
    </xf>
    <xf numFmtId="0" fontId="28" fillId="2" borderId="0" xfId="2" applyFont="1" applyFill="1" applyBorder="1" applyAlignment="1">
      <alignment horizontal="center"/>
    </xf>
    <xf numFmtId="0" fontId="15" fillId="2" borderId="0" xfId="0" applyFont="1" applyFill="1" applyBorder="1" applyAlignment="1">
      <alignment horizontal="left"/>
    </xf>
    <xf numFmtId="0" fontId="0" fillId="2" borderId="0" xfId="0" applyFill="1" applyBorder="1" applyAlignment="1">
      <alignment vertical="center"/>
    </xf>
    <xf numFmtId="0" fontId="13" fillId="0" borderId="0" xfId="0" applyFont="1"/>
    <xf numFmtId="0" fontId="2" fillId="0" borderId="0" xfId="0" applyFont="1" applyBorder="1" applyAlignment="1"/>
    <xf numFmtId="0" fontId="12" fillId="0" borderId="0" xfId="5" applyFont="1"/>
    <xf numFmtId="2" fontId="9" fillId="0" borderId="0" xfId="5" applyNumberFormat="1" applyFont="1" applyBorder="1" applyAlignment="1">
      <alignment horizontal="center" vertical="center"/>
    </xf>
    <xf numFmtId="2" fontId="13" fillId="0" borderId="25" xfId="16" applyNumberFormat="1" applyFont="1" applyBorder="1" applyAlignment="1">
      <alignment horizontal="center"/>
    </xf>
    <xf numFmtId="0" fontId="4" fillId="0" borderId="25" xfId="13" applyFont="1" applyBorder="1"/>
    <xf numFmtId="0" fontId="15" fillId="0" borderId="42" xfId="11" applyFont="1" applyBorder="1" applyAlignment="1">
      <alignment horizontal="left" vertical="center"/>
    </xf>
    <xf numFmtId="0" fontId="15" fillId="0" borderId="42" xfId="11" applyFont="1" applyBorder="1" applyAlignment="1">
      <alignment horizontal="center" vertical="center"/>
    </xf>
    <xf numFmtId="0" fontId="15" fillId="0" borderId="42" xfId="7" applyFont="1" applyBorder="1" applyAlignment="1">
      <alignment horizontal="center" vertical="center"/>
    </xf>
    <xf numFmtId="0" fontId="15" fillId="0" borderId="2" xfId="11" applyFont="1" applyBorder="1" applyAlignment="1"/>
    <xf numFmtId="0" fontId="15" fillId="0" borderId="24" xfId="11" applyFont="1" applyBorder="1" applyAlignment="1"/>
    <xf numFmtId="0" fontId="15" fillId="0" borderId="28" xfId="13" applyFont="1" applyBorder="1" applyAlignment="1">
      <alignment horizontal="center"/>
    </xf>
    <xf numFmtId="0" fontId="15" fillId="0" borderId="27" xfId="13" applyFont="1" applyBorder="1" applyAlignment="1">
      <alignment horizontal="left"/>
    </xf>
    <xf numFmtId="0" fontId="15" fillId="0" borderId="27" xfId="13" applyFont="1" applyBorder="1" applyAlignment="1">
      <alignment horizontal="center"/>
    </xf>
    <xf numFmtId="0" fontId="29" fillId="0" borderId="0" xfId="14" applyFont="1"/>
    <xf numFmtId="2" fontId="4" fillId="2" borderId="1" xfId="0" applyNumberFormat="1" applyFont="1" applyFill="1" applyBorder="1" applyAlignment="1">
      <alignment horizontal="center" vertical="center"/>
    </xf>
    <xf numFmtId="0" fontId="15" fillId="0" borderId="31" xfId="0" applyFont="1" applyBorder="1" applyAlignment="1">
      <alignment horizontal="left" vertical="top"/>
    </xf>
    <xf numFmtId="0" fontId="15" fillId="0" borderId="34" xfId="13" applyFont="1" applyBorder="1" applyAlignment="1"/>
    <xf numFmtId="0" fontId="15" fillId="0" borderId="22" xfId="13" applyNumberFormat="1" applyFont="1" applyBorder="1" applyAlignment="1">
      <alignment horizontal="center" vertical="center"/>
    </xf>
    <xf numFmtId="2" fontId="13" fillId="0" borderId="44" xfId="9" applyNumberFormat="1" applyFont="1" applyBorder="1" applyAlignment="1">
      <alignment horizontal="center"/>
    </xf>
    <xf numFmtId="0" fontId="4" fillId="0" borderId="0" xfId="0" applyFont="1" applyAlignment="1"/>
    <xf numFmtId="0" fontId="2" fillId="0" borderId="45" xfId="0" applyNumberFormat="1" applyFont="1" applyBorder="1" applyAlignment="1">
      <alignment horizontal="center"/>
    </xf>
    <xf numFmtId="0" fontId="2" fillId="0" borderId="46" xfId="0" applyNumberFormat="1" applyFont="1" applyBorder="1" applyAlignment="1">
      <alignment horizontal="center"/>
    </xf>
    <xf numFmtId="0" fontId="14" fillId="0" borderId="0" xfId="0" applyFont="1"/>
    <xf numFmtId="0" fontId="4" fillId="2" borderId="0" xfId="0" applyFont="1" applyFill="1" applyBorder="1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NumberFormat="1" applyFont="1" applyBorder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9" fillId="0" borderId="1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/>
    </xf>
    <xf numFmtId="0" fontId="4" fillId="2" borderId="2" xfId="0" applyFont="1" applyFill="1" applyBorder="1" applyAlignment="1"/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15" xfId="0" applyFont="1" applyBorder="1" applyAlignment="1"/>
    <xf numFmtId="0" fontId="15" fillId="0" borderId="13" xfId="0" applyFont="1" applyBorder="1" applyAlignment="1"/>
    <xf numFmtId="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2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2" xfId="0" applyFont="1" applyBorder="1" applyAlignment="1"/>
    <xf numFmtId="0" fontId="15" fillId="0" borderId="14" xfId="0" applyFont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5" xfId="2" applyFont="1" applyFill="1" applyBorder="1" applyAlignment="1"/>
    <xf numFmtId="0" fontId="4" fillId="2" borderId="14" xfId="2" applyFont="1" applyFill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15" fillId="0" borderId="11" xfId="0" applyFont="1" applyBorder="1" applyAlignment="1"/>
    <xf numFmtId="0" fontId="15" fillId="0" borderId="10" xfId="0" applyFont="1" applyBorder="1" applyAlignment="1"/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10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9" xfId="0" applyFont="1" applyBorder="1" applyAlignment="1"/>
    <xf numFmtId="0" fontId="15" fillId="0" borderId="2" xfId="0" applyFont="1" applyBorder="1" applyAlignment="1">
      <alignment horizontal="left" vertical="center"/>
    </xf>
    <xf numFmtId="0" fontId="15" fillId="0" borderId="15" xfId="0" applyFont="1" applyBorder="1" applyAlignment="1">
      <alignment vertical="top"/>
    </xf>
    <xf numFmtId="0" fontId="15" fillId="0" borderId="13" xfId="0" applyFont="1" applyBorder="1" applyAlignment="1">
      <alignment vertical="top"/>
    </xf>
    <xf numFmtId="0" fontId="15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center" vertical="top"/>
    </xf>
    <xf numFmtId="2" fontId="15" fillId="0" borderId="1" xfId="0" applyNumberFormat="1" applyFont="1" applyBorder="1" applyAlignment="1">
      <alignment horizontal="center" vertical="top"/>
    </xf>
    <xf numFmtId="0" fontId="15" fillId="0" borderId="14" xfId="0" applyFont="1" applyBorder="1" applyAlignment="1">
      <alignment horizontal="left" vertical="top"/>
    </xf>
    <xf numFmtId="0" fontId="13" fillId="0" borderId="9" xfId="0" applyFont="1" applyBorder="1" applyAlignment="1"/>
    <xf numFmtId="0" fontId="13" fillId="0" borderId="15" xfId="0" applyFont="1" applyBorder="1" applyAlignment="1"/>
    <xf numFmtId="0" fontId="13" fillId="0" borderId="13" xfId="0" applyFont="1" applyBorder="1" applyAlignment="1"/>
    <xf numFmtId="0" fontId="13" fillId="0" borderId="1" xfId="0" applyFont="1" applyBorder="1" applyAlignment="1">
      <alignment horizontal="center"/>
    </xf>
    <xf numFmtId="0" fontId="4" fillId="2" borderId="15" xfId="0" applyFont="1" applyFill="1" applyBorder="1" applyAlignment="1">
      <alignment horizontal="left"/>
    </xf>
    <xf numFmtId="0" fontId="15" fillId="0" borderId="9" xfId="0" applyFont="1" applyBorder="1" applyAlignment="1">
      <alignment horizontal="left" vertical="center"/>
    </xf>
    <xf numFmtId="0" fontId="15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5" xfId="2" applyFont="1" applyFill="1" applyBorder="1" applyAlignment="1">
      <alignment vertical="center"/>
    </xf>
    <xf numFmtId="0" fontId="4" fillId="2" borderId="13" xfId="2" applyFont="1" applyFill="1" applyBorder="1" applyAlignment="1">
      <alignment vertical="center"/>
    </xf>
    <xf numFmtId="0" fontId="4" fillId="2" borderId="1" xfId="2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left"/>
    </xf>
    <xf numFmtId="0" fontId="13" fillId="0" borderId="32" xfId="0" applyFont="1" applyBorder="1" applyAlignment="1"/>
    <xf numFmtId="0" fontId="13" fillId="0" borderId="10" xfId="0" applyFont="1" applyBorder="1" applyAlignment="1"/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4" fillId="2" borderId="47" xfId="2" applyFont="1" applyFill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4" fillId="2" borderId="10" xfId="2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0" fontId="15" fillId="0" borderId="1" xfId="0" applyNumberFormat="1" applyFont="1" applyBorder="1" applyAlignment="1">
      <alignment horizontal="center"/>
    </xf>
    <xf numFmtId="0" fontId="4" fillId="2" borderId="9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4" xfId="0" applyFont="1" applyFill="1" applyBorder="1" applyAlignment="1"/>
    <xf numFmtId="0" fontId="15" fillId="0" borderId="9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4" fillId="2" borderId="14" xfId="2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33" fillId="0" borderId="14" xfId="0" applyFont="1" applyBorder="1"/>
    <xf numFmtId="0" fontId="4" fillId="0" borderId="1" xfId="2" applyFont="1" applyFill="1" applyBorder="1" applyAlignment="1">
      <alignment horizontal="center" vertical="center"/>
    </xf>
    <xf numFmtId="0" fontId="4" fillId="0" borderId="14" xfId="2" applyFont="1" applyFill="1" applyBorder="1" applyAlignment="1"/>
    <xf numFmtId="0" fontId="15" fillId="0" borderId="48" xfId="0" applyFont="1" applyBorder="1" applyAlignment="1">
      <alignment horizontal="left"/>
    </xf>
    <xf numFmtId="0" fontId="4" fillId="2" borderId="2" xfId="2" applyFont="1" applyFill="1" applyBorder="1" applyAlignment="1">
      <alignment horizontal="center" vertical="center" wrapText="1"/>
    </xf>
    <xf numFmtId="0" fontId="15" fillId="2" borderId="11" xfId="0" applyFont="1" applyFill="1" applyBorder="1" applyAlignment="1"/>
    <xf numFmtId="0" fontId="15" fillId="2" borderId="10" xfId="0" applyFont="1" applyFill="1" applyBorder="1" applyAlignment="1"/>
    <xf numFmtId="0" fontId="15" fillId="0" borderId="0" xfId="0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0" fontId="12" fillId="0" borderId="13" xfId="0" applyFont="1" applyBorder="1" applyAlignment="1"/>
    <xf numFmtId="0" fontId="4" fillId="2" borderId="13" xfId="0" applyFont="1" applyFill="1" applyBorder="1" applyAlignment="1">
      <alignment horizontal="left"/>
    </xf>
    <xf numFmtId="0" fontId="15" fillId="2" borderId="15" xfId="0" applyFont="1" applyFill="1" applyBorder="1" applyAlignment="1"/>
    <xf numFmtId="0" fontId="15" fillId="2" borderId="13" xfId="0" applyFont="1" applyFill="1" applyBorder="1" applyAlignment="1"/>
    <xf numFmtId="0" fontId="4" fillId="2" borderId="49" xfId="0" applyFont="1" applyFill="1" applyBorder="1" applyAlignment="1"/>
    <xf numFmtId="0" fontId="9" fillId="0" borderId="2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2" applyFont="1" applyFill="1" applyBorder="1" applyAlignment="1">
      <alignment vertical="center"/>
    </xf>
    <xf numFmtId="0" fontId="15" fillId="0" borderId="38" xfId="0" applyFont="1" applyBorder="1" applyAlignment="1">
      <alignment horizontal="center" vertical="center"/>
    </xf>
    <xf numFmtId="0" fontId="15" fillId="0" borderId="13" xfId="0" applyFont="1" applyBorder="1" applyAlignment="1">
      <alignment horizontal="left"/>
    </xf>
    <xf numFmtId="2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/>
    <xf numFmtId="0" fontId="15" fillId="0" borderId="38" xfId="0" applyFont="1" applyBorder="1" applyAlignment="1">
      <alignment horizontal="center"/>
    </xf>
    <xf numFmtId="0" fontId="10" fillId="0" borderId="22" xfId="0" applyFont="1" applyFill="1" applyBorder="1" applyAlignment="1">
      <alignment horizontal="center" vertical="center" wrapText="1"/>
    </xf>
    <xf numFmtId="0" fontId="4" fillId="2" borderId="2" xfId="2" applyFont="1" applyFill="1" applyBorder="1" applyAlignment="1"/>
    <xf numFmtId="0" fontId="15" fillId="0" borderId="32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0" borderId="0" xfId="7" applyFont="1" applyBorder="1" applyAlignment="1">
      <alignment horizontal="right"/>
    </xf>
    <xf numFmtId="0" fontId="22" fillId="0" borderId="26" xfId="9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 wrapText="1"/>
    </xf>
    <xf numFmtId="2" fontId="4" fillId="2" borderId="0" xfId="2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vertical="center"/>
    </xf>
    <xf numFmtId="0" fontId="4" fillId="2" borderId="32" xfId="0" applyFont="1" applyFill="1" applyBorder="1" applyAlignment="1">
      <alignment horizontal="left"/>
    </xf>
    <xf numFmtId="0" fontId="4" fillId="0" borderId="0" xfId="13" applyFont="1" applyBorder="1"/>
    <xf numFmtId="0" fontId="4" fillId="0" borderId="0" xfId="7" applyFont="1" applyBorder="1" applyAlignment="1"/>
    <xf numFmtId="2" fontId="13" fillId="0" borderId="0" xfId="9" applyNumberFormat="1" applyFont="1" applyBorder="1" applyAlignment="1">
      <alignment horizontal="center"/>
    </xf>
    <xf numFmtId="0" fontId="7" fillId="0" borderId="7" xfId="7" applyFont="1" applyBorder="1" applyAlignment="1"/>
    <xf numFmtId="0" fontId="13" fillId="0" borderId="1" xfId="0" applyNumberFormat="1" applyFont="1" applyBorder="1" applyAlignment="1">
      <alignment horizontal="center" vertical="center"/>
    </xf>
    <xf numFmtId="0" fontId="13" fillId="0" borderId="14" xfId="0" applyFont="1" applyBorder="1" applyAlignment="1"/>
    <xf numFmtId="0" fontId="13" fillId="0" borderId="13" xfId="0" applyFont="1" applyBorder="1" applyAlignment="1">
      <alignment horizontal="center"/>
    </xf>
    <xf numFmtId="0" fontId="15" fillId="0" borderId="48" xfId="0" applyFont="1" applyBorder="1" applyAlignment="1"/>
    <xf numFmtId="0" fontId="4" fillId="0" borderId="1" xfId="0" applyFont="1" applyBorder="1" applyAlignment="1">
      <alignment horizontal="left"/>
    </xf>
    <xf numFmtId="0" fontId="4" fillId="2" borderId="14" xfId="2" applyFont="1" applyFill="1" applyBorder="1" applyAlignment="1">
      <alignment vertical="center" wrapText="1"/>
    </xf>
    <xf numFmtId="0" fontId="13" fillId="0" borderId="48" xfId="0" applyFont="1" applyBorder="1" applyAlignment="1"/>
    <xf numFmtId="0" fontId="12" fillId="0" borderId="14" xfId="0" applyFont="1" applyBorder="1" applyAlignment="1"/>
    <xf numFmtId="0" fontId="4" fillId="2" borderId="48" xfId="2" applyFont="1" applyFill="1" applyBorder="1" applyAlignment="1"/>
    <xf numFmtId="0" fontId="2" fillId="0" borderId="5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" fontId="34" fillId="2" borderId="1" xfId="0" applyNumberFormat="1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/>
    </xf>
    <xf numFmtId="0" fontId="15" fillId="0" borderId="52" xfId="0" applyFont="1" applyBorder="1" applyAlignment="1"/>
    <xf numFmtId="0" fontId="15" fillId="0" borderId="2" xfId="0" applyNumberFormat="1" applyFont="1" applyBorder="1" applyAlignment="1">
      <alignment horizontal="center"/>
    </xf>
    <xf numFmtId="2" fontId="4" fillId="2" borderId="1" xfId="2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35" fillId="0" borderId="2" xfId="5" applyFont="1" applyBorder="1" applyAlignment="1">
      <alignment horizontal="center" vertical="center"/>
    </xf>
    <xf numFmtId="164" fontId="35" fillId="2" borderId="2" xfId="5" applyNumberFormat="1" applyFont="1" applyFill="1" applyBorder="1" applyAlignment="1">
      <alignment horizontal="center" vertical="center"/>
    </xf>
    <xf numFmtId="0" fontId="35" fillId="2" borderId="2" xfId="5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3" fillId="0" borderId="2" xfId="0" applyFont="1" applyBorder="1" applyAlignment="1"/>
    <xf numFmtId="0" fontId="15" fillId="2" borderId="54" xfId="0" applyFont="1" applyFill="1" applyBorder="1" applyAlignment="1"/>
    <xf numFmtId="0" fontId="15" fillId="2" borderId="49" xfId="0" applyFont="1" applyFill="1" applyBorder="1" applyAlignment="1"/>
    <xf numFmtId="0" fontId="15" fillId="0" borderId="55" xfId="0" applyFont="1" applyBorder="1" applyAlignment="1"/>
    <xf numFmtId="0" fontId="4" fillId="0" borderId="1" xfId="0" applyFont="1" applyBorder="1" applyAlignment="1">
      <alignment horizontal="justify" vertical="center" wrapText="1"/>
    </xf>
    <xf numFmtId="0" fontId="13" fillId="0" borderId="47" xfId="0" applyFont="1" applyBorder="1" applyAlignment="1">
      <alignment horizontal="center"/>
    </xf>
    <xf numFmtId="0" fontId="4" fillId="2" borderId="1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3" fillId="0" borderId="3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4" fillId="2" borderId="50" xfId="2" applyFont="1" applyFill="1" applyBorder="1" applyAlignment="1"/>
    <xf numFmtId="0" fontId="4" fillId="2" borderId="32" xfId="2" applyFont="1" applyFill="1" applyBorder="1" applyAlignment="1"/>
    <xf numFmtId="0" fontId="4" fillId="2" borderId="0" xfId="0" applyFont="1" applyFill="1" applyAlignment="1"/>
    <xf numFmtId="0" fontId="8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/>
    </xf>
    <xf numFmtId="0" fontId="15" fillId="2" borderId="32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 vertical="center"/>
    </xf>
    <xf numFmtId="0" fontId="15" fillId="2" borderId="9" xfId="0" applyFont="1" applyFill="1" applyBorder="1" applyAlignment="1"/>
    <xf numFmtId="0" fontId="2" fillId="2" borderId="0" xfId="0" applyFont="1" applyFill="1"/>
    <xf numFmtId="0" fontId="15" fillId="2" borderId="32" xfId="0" applyFont="1" applyFill="1" applyBorder="1" applyAlignment="1"/>
    <xf numFmtId="0" fontId="0" fillId="2" borderId="16" xfId="0" applyFill="1" applyBorder="1"/>
    <xf numFmtId="0" fontId="0" fillId="2" borderId="0" xfId="0" applyFont="1" applyFill="1" applyAlignment="1"/>
    <xf numFmtId="0" fontId="15" fillId="2" borderId="56" xfId="0" applyFont="1" applyFill="1" applyBorder="1" applyAlignment="1"/>
    <xf numFmtId="0" fontId="15" fillId="0" borderId="13" xfId="0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49" fontId="4" fillId="2" borderId="2" xfId="2" applyNumberFormat="1" applyFont="1" applyFill="1" applyBorder="1" applyAlignment="1">
      <alignment horizontal="center" vertical="center"/>
    </xf>
    <xf numFmtId="0" fontId="15" fillId="2" borderId="50" xfId="0" applyFont="1" applyFill="1" applyBorder="1" applyAlignment="1">
      <alignment horizontal="left"/>
    </xf>
    <xf numFmtId="0" fontId="15" fillId="0" borderId="47" xfId="0" applyFont="1" applyBorder="1" applyAlignment="1">
      <alignment horizontal="center"/>
    </xf>
    <xf numFmtId="2" fontId="15" fillId="0" borderId="47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left"/>
    </xf>
    <xf numFmtId="0" fontId="15" fillId="0" borderId="57" xfId="0" applyFont="1" applyBorder="1" applyAlignment="1"/>
    <xf numFmtId="0" fontId="4" fillId="0" borderId="2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2" fontId="4" fillId="2" borderId="47" xfId="2" applyNumberFormat="1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4" fillId="2" borderId="58" xfId="2" applyFont="1" applyFill="1" applyBorder="1" applyAlignment="1">
      <alignment horizontal="center" vertical="center"/>
    </xf>
    <xf numFmtId="0" fontId="4" fillId="2" borderId="59" xfId="2" applyFont="1" applyFill="1" applyBorder="1" applyAlignment="1"/>
    <xf numFmtId="0" fontId="2" fillId="2" borderId="2" xfId="0" applyFont="1" applyFill="1" applyBorder="1" applyAlignment="1"/>
    <xf numFmtId="0" fontId="4" fillId="2" borderId="12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0" fillId="2" borderId="14" xfId="0" applyFont="1" applyFill="1" applyBorder="1"/>
    <xf numFmtId="0" fontId="2" fillId="0" borderId="0" xfId="9" applyFont="1" applyBorder="1" applyAlignment="1"/>
    <xf numFmtId="0" fontId="15" fillId="2" borderId="2" xfId="0" applyFont="1" applyFill="1" applyBorder="1" applyAlignment="1">
      <alignment horizontal="left"/>
    </xf>
    <xf numFmtId="0" fontId="15" fillId="2" borderId="2" xfId="0" applyFont="1" applyFill="1" applyBorder="1" applyAlignment="1"/>
    <xf numFmtId="0" fontId="15" fillId="0" borderId="51" xfId="0" applyFont="1" applyBorder="1" applyAlignment="1">
      <alignment horizontal="left"/>
    </xf>
    <xf numFmtId="0" fontId="4" fillId="2" borderId="60" xfId="2" applyFont="1" applyFill="1" applyBorder="1" applyAlignment="1">
      <alignment horizontal="center" vertical="center"/>
    </xf>
    <xf numFmtId="0" fontId="4" fillId="2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61" xfId="2" applyFont="1" applyFill="1" applyBorder="1" applyAlignment="1"/>
    <xf numFmtId="0" fontId="4" fillId="0" borderId="2" xfId="0" applyFont="1" applyBorder="1"/>
    <xf numFmtId="0" fontId="0" fillId="2" borderId="2" xfId="0" applyFill="1" applyBorder="1" applyAlignment="1">
      <alignment vertical="center"/>
    </xf>
    <xf numFmtId="0" fontId="15" fillId="0" borderId="0" xfId="0" applyFont="1" applyBorder="1" applyAlignment="1"/>
    <xf numFmtId="0" fontId="15" fillId="2" borderId="15" xfId="0" applyFont="1" applyFill="1" applyBorder="1" applyAlignment="1">
      <alignment horizontal="left"/>
    </xf>
    <xf numFmtId="0" fontId="15" fillId="2" borderId="15" xfId="0" applyFont="1" applyFill="1" applyBorder="1" applyAlignment="1">
      <alignment horizontal="left" vertical="top"/>
    </xf>
    <xf numFmtId="0" fontId="13" fillId="0" borderId="0" xfId="0" applyFont="1" applyBorder="1" applyAlignment="1">
      <alignment horizontal="center" vertical="center"/>
    </xf>
    <xf numFmtId="0" fontId="2" fillId="2" borderId="50" xfId="0" applyFont="1" applyFill="1" applyBorder="1" applyAlignment="1">
      <alignment horizontal="center"/>
    </xf>
    <xf numFmtId="0" fontId="15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center" wrapText="1"/>
    </xf>
    <xf numFmtId="2" fontId="15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/>
    <xf numFmtId="0" fontId="0" fillId="2" borderId="0" xfId="0" applyFill="1" applyBorder="1"/>
    <xf numFmtId="0" fontId="0" fillId="0" borderId="0" xfId="0" applyFont="1" applyAlignment="1">
      <alignment vertical="center"/>
    </xf>
    <xf numFmtId="0" fontId="15" fillId="2" borderId="0" xfId="0" applyFont="1" applyFill="1" applyBorder="1" applyAlignment="1"/>
    <xf numFmtId="0" fontId="4" fillId="0" borderId="0" xfId="0" applyFont="1" applyBorder="1" applyAlignment="1">
      <alignment vertical="center" wrapText="1"/>
    </xf>
    <xf numFmtId="49" fontId="15" fillId="0" borderId="0" xfId="0" applyNumberFormat="1" applyFont="1" applyBorder="1" applyAlignment="1">
      <alignment horizontal="center" vertical="center"/>
    </xf>
    <xf numFmtId="0" fontId="9" fillId="0" borderId="63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 wrapText="1"/>
    </xf>
    <xf numFmtId="0" fontId="9" fillId="0" borderId="64" xfId="9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left"/>
    </xf>
    <xf numFmtId="2" fontId="15" fillId="0" borderId="22" xfId="0" applyNumberFormat="1" applyFont="1" applyBorder="1" applyAlignment="1">
      <alignment horizontal="center" vertical="center"/>
    </xf>
    <xf numFmtId="0" fontId="15" fillId="0" borderId="35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Fill="1" applyBorder="1"/>
    <xf numFmtId="0" fontId="2" fillId="0" borderId="0" xfId="0" applyFont="1" applyAlignment="1"/>
    <xf numFmtId="0" fontId="0" fillId="0" borderId="0" xfId="0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58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15" fillId="2" borderId="9" xfId="2" applyFont="1" applyFill="1" applyBorder="1" applyAlignment="1">
      <alignment horizontal="left"/>
    </xf>
    <xf numFmtId="0" fontId="15" fillId="2" borderId="9" xfId="2" applyFont="1" applyFill="1" applyBorder="1" applyAlignment="1">
      <alignment horizontal="left" vertical="center" wrapText="1"/>
    </xf>
    <xf numFmtId="0" fontId="15" fillId="2" borderId="32" xfId="2" applyFont="1" applyFill="1" applyBorder="1" applyAlignment="1">
      <alignment horizontal="left"/>
    </xf>
    <xf numFmtId="2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2" fontId="15" fillId="2" borderId="1" xfId="2" applyNumberFormat="1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2" fontId="15" fillId="2" borderId="2" xfId="2" applyNumberFormat="1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Border="1" applyAlignment="1"/>
    <xf numFmtId="0" fontId="6" fillId="0" borderId="0" xfId="0" applyFont="1" applyAlignment="1">
      <alignment horizontal="left"/>
    </xf>
    <xf numFmtId="0" fontId="15" fillId="2" borderId="15" xfId="2" applyFont="1" applyFill="1" applyBorder="1" applyAlignment="1"/>
    <xf numFmtId="0" fontId="15" fillId="2" borderId="13" xfId="2" applyFont="1" applyFill="1" applyBorder="1" applyAlignment="1"/>
    <xf numFmtId="0" fontId="15" fillId="2" borderId="1" xfId="2" applyNumberFormat="1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15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9" fillId="2" borderId="32" xfId="2" applyFont="1" applyFill="1" applyBorder="1" applyAlignment="1">
      <alignment vertical="center"/>
    </xf>
    <xf numFmtId="0" fontId="15" fillId="2" borderId="32" xfId="0" applyFont="1" applyFill="1" applyBorder="1" applyAlignment="1">
      <alignment horizontal="left" vertical="center"/>
    </xf>
    <xf numFmtId="0" fontId="15" fillId="2" borderId="9" xfId="2" applyFont="1" applyFill="1" applyBorder="1" applyAlignment="1">
      <alignment vertical="center"/>
    </xf>
    <xf numFmtId="0" fontId="15" fillId="2" borderId="9" xfId="2" applyFont="1" applyFill="1" applyBorder="1" applyAlignment="1"/>
    <xf numFmtId="0" fontId="15" fillId="2" borderId="66" xfId="0" applyFont="1" applyFill="1" applyBorder="1" applyAlignment="1">
      <alignment horizontal="left" vertical="center"/>
    </xf>
    <xf numFmtId="0" fontId="15" fillId="2" borderId="11" xfId="0" applyFont="1" applyFill="1" applyBorder="1" applyAlignment="1">
      <alignment vertical="center"/>
    </xf>
    <xf numFmtId="0" fontId="15" fillId="2" borderId="15" xfId="0" applyFont="1" applyFill="1" applyBorder="1" applyAlignment="1">
      <alignment vertical="center"/>
    </xf>
    <xf numFmtId="0" fontId="15" fillId="2" borderId="15" xfId="0" applyFont="1" applyFill="1" applyBorder="1" applyAlignment="1">
      <alignment horizontal="left" vertical="center"/>
    </xf>
    <xf numFmtId="0" fontId="15" fillId="2" borderId="32" xfId="2" applyFont="1" applyFill="1" applyBorder="1" applyAlignment="1">
      <alignment vertical="center"/>
    </xf>
    <xf numFmtId="0" fontId="15" fillId="2" borderId="11" xfId="2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12" xfId="2" applyNumberFormat="1" applyFont="1" applyFill="1" applyBorder="1" applyAlignment="1">
      <alignment horizontal="center" vertical="center"/>
    </xf>
    <xf numFmtId="0" fontId="36" fillId="0" borderId="0" xfId="0" applyFont="1"/>
    <xf numFmtId="0" fontId="15" fillId="2" borderId="11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5" fillId="2" borderId="9" xfId="0" applyFont="1" applyFill="1" applyBorder="1" applyAlignment="1">
      <alignment vertical="center"/>
    </xf>
    <xf numFmtId="2" fontId="15" fillId="2" borderId="1" xfId="2" applyNumberFormat="1" applyFont="1" applyFill="1" applyBorder="1" applyAlignment="1">
      <alignment horizontal="center"/>
    </xf>
    <xf numFmtId="0" fontId="15" fillId="2" borderId="1" xfId="2" applyFont="1" applyFill="1" applyBorder="1" applyAlignment="1">
      <alignment horizontal="center"/>
    </xf>
    <xf numFmtId="0" fontId="15" fillId="0" borderId="9" xfId="0" applyNumberFormat="1" applyFont="1" applyBorder="1" applyAlignment="1">
      <alignment horizontal="center"/>
    </xf>
    <xf numFmtId="0" fontId="15" fillId="2" borderId="1" xfId="0" applyNumberFormat="1" applyFont="1" applyFill="1" applyBorder="1" applyAlignment="1">
      <alignment horizontal="center" vertical="center"/>
    </xf>
    <xf numFmtId="0" fontId="15" fillId="2" borderId="9" xfId="2" applyNumberFormat="1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2" borderId="9" xfId="0" applyFont="1" applyFill="1" applyBorder="1" applyAlignment="1"/>
    <xf numFmtId="0" fontId="12" fillId="0" borderId="9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30" fillId="0" borderId="0" xfId="0" applyFont="1" applyAlignment="1"/>
    <xf numFmtId="0" fontId="0" fillId="0" borderId="0" xfId="0" applyBorder="1" applyAlignment="1"/>
    <xf numFmtId="0" fontId="15" fillId="0" borderId="15" xfId="2" applyFont="1" applyFill="1" applyBorder="1" applyAlignment="1"/>
    <xf numFmtId="0" fontId="15" fillId="0" borderId="13" xfId="2" applyFont="1" applyFill="1" applyBorder="1" applyAlignment="1"/>
    <xf numFmtId="0" fontId="9" fillId="0" borderId="1" xfId="0" applyFont="1" applyBorder="1" applyAlignment="1">
      <alignment horizontal="center" vertical="center"/>
    </xf>
    <xf numFmtId="0" fontId="15" fillId="2" borderId="9" xfId="2" applyFont="1" applyFill="1" applyBorder="1" applyAlignment="1">
      <alignment horizontal="left" vertical="center"/>
    </xf>
    <xf numFmtId="0" fontId="15" fillId="2" borderId="15" xfId="2" applyFont="1" applyFill="1" applyBorder="1" applyAlignment="1">
      <alignment horizontal="left" vertical="center"/>
    </xf>
    <xf numFmtId="0" fontId="15" fillId="2" borderId="13" xfId="2" applyFont="1" applyFill="1" applyBorder="1" applyAlignment="1">
      <alignment horizontal="left" vertical="center"/>
    </xf>
    <xf numFmtId="0" fontId="15" fillId="0" borderId="1" xfId="2" applyNumberFormat="1" applyFont="1" applyFill="1" applyBorder="1" applyAlignment="1">
      <alignment horizontal="center" vertical="center"/>
    </xf>
    <xf numFmtId="0" fontId="15" fillId="0" borderId="1" xfId="2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2" fontId="4" fillId="0" borderId="1" xfId="2" applyNumberFormat="1" applyFont="1" applyFill="1" applyBorder="1" applyAlignment="1">
      <alignment horizontal="center" vertical="center"/>
    </xf>
    <xf numFmtId="0" fontId="4" fillId="0" borderId="49" xfId="0" applyFont="1" applyBorder="1"/>
    <xf numFmtId="0" fontId="15" fillId="0" borderId="9" xfId="2" applyFont="1" applyFill="1" applyBorder="1" applyAlignment="1"/>
    <xf numFmtId="0" fontId="15" fillId="0" borderId="52" xfId="0" applyFont="1" applyBorder="1"/>
    <xf numFmtId="0" fontId="9" fillId="2" borderId="9" xfId="2" applyFont="1" applyFill="1" applyBorder="1" applyAlignment="1">
      <alignment horizontal="left" vertical="center"/>
    </xf>
    <xf numFmtId="0" fontId="15" fillId="2" borderId="32" xfId="2" applyFont="1" applyFill="1" applyBorder="1" applyAlignment="1"/>
    <xf numFmtId="0" fontId="15" fillId="2" borderId="2" xfId="2" applyNumberFormat="1" applyFont="1" applyFill="1" applyBorder="1" applyAlignment="1">
      <alignment horizontal="center" vertical="center"/>
    </xf>
    <xf numFmtId="0" fontId="15" fillId="2" borderId="10" xfId="2" applyFont="1" applyFill="1" applyBorder="1" applyAlignment="1">
      <alignment horizontal="center" vertical="center"/>
    </xf>
    <xf numFmtId="0" fontId="15" fillId="2" borderId="10" xfId="2" applyFont="1" applyFill="1" applyBorder="1" applyAlignment="1">
      <alignment vertical="center"/>
    </xf>
    <xf numFmtId="2" fontId="15" fillId="2" borderId="12" xfId="2" applyNumberFormat="1" applyFont="1" applyFill="1" applyBorder="1" applyAlignment="1">
      <alignment horizontal="center" vertical="center"/>
    </xf>
    <xf numFmtId="0" fontId="15" fillId="2" borderId="12" xfId="2" applyFont="1" applyFill="1" applyBorder="1" applyAlignment="1">
      <alignment horizontal="center" vertical="center"/>
    </xf>
    <xf numFmtId="0" fontId="15" fillId="2" borderId="56" xfId="2" applyFont="1" applyFill="1" applyBorder="1" applyAlignment="1"/>
    <xf numFmtId="0" fontId="12" fillId="2" borderId="9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vertical="center"/>
    </xf>
    <xf numFmtId="0" fontId="15" fillId="2" borderId="15" xfId="2" applyFont="1" applyFill="1" applyBorder="1" applyAlignment="1">
      <alignment vertical="center"/>
    </xf>
    <xf numFmtId="0" fontId="15" fillId="2" borderId="13" xfId="2" applyFont="1" applyFill="1" applyBorder="1" applyAlignment="1">
      <alignment vertical="center"/>
    </xf>
    <xf numFmtId="2" fontId="15" fillId="2" borderId="10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2" fontId="15" fillId="2" borderId="12" xfId="0" applyNumberFormat="1" applyFont="1" applyFill="1" applyBorder="1" applyAlignment="1">
      <alignment horizontal="center" vertical="center"/>
    </xf>
    <xf numFmtId="0" fontId="15" fillId="2" borderId="67" xfId="0" applyFont="1" applyFill="1" applyBorder="1" applyAlignment="1"/>
    <xf numFmtId="0" fontId="15" fillId="2" borderId="1" xfId="2" applyFont="1" applyFill="1" applyBorder="1" applyAlignment="1">
      <alignment horizontal="center" vertical="center" wrapText="1"/>
    </xf>
    <xf numFmtId="0" fontId="12" fillId="2" borderId="9" xfId="0" applyFont="1" applyFill="1" applyBorder="1" applyAlignment="1"/>
    <xf numFmtId="0" fontId="38" fillId="2" borderId="2" xfId="0" applyFont="1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2" xfId="0" applyNumberFormat="1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16" xfId="0" applyFont="1" applyFill="1" applyBorder="1" applyAlignment="1">
      <alignment horizontal="left"/>
    </xf>
    <xf numFmtId="0" fontId="37" fillId="2" borderId="57" xfId="0" applyFont="1" applyFill="1" applyBorder="1" applyAlignment="1">
      <alignment horizontal="left"/>
    </xf>
    <xf numFmtId="2" fontId="15" fillId="2" borderId="38" xfId="2" applyNumberFormat="1" applyFont="1" applyFill="1" applyBorder="1" applyAlignment="1">
      <alignment horizontal="center" vertical="center"/>
    </xf>
    <xf numFmtId="0" fontId="15" fillId="2" borderId="38" xfId="2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15" fillId="2" borderId="10" xfId="2" applyFont="1" applyFill="1" applyBorder="1" applyAlignment="1">
      <alignment horizontal="left"/>
    </xf>
    <xf numFmtId="0" fontId="15" fillId="2" borderId="2" xfId="2" applyFont="1" applyFill="1" applyBorder="1" applyAlignment="1"/>
    <xf numFmtId="0" fontId="12" fillId="2" borderId="2" xfId="0" applyFont="1" applyFill="1" applyBorder="1" applyAlignment="1">
      <alignment horizontal="center" vertical="center"/>
    </xf>
    <xf numFmtId="2" fontId="15" fillId="2" borderId="68" xfId="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15" fillId="2" borderId="42" xfId="0" applyFont="1" applyFill="1" applyBorder="1" applyAlignment="1">
      <alignment horizontal="center"/>
    </xf>
    <xf numFmtId="0" fontId="15" fillId="2" borderId="47" xfId="2" applyNumberFormat="1" applyFont="1" applyFill="1" applyBorder="1" applyAlignment="1">
      <alignment horizontal="center" vertical="center"/>
    </xf>
    <xf numFmtId="0" fontId="15" fillId="2" borderId="47" xfId="2" applyFont="1" applyFill="1" applyBorder="1" applyAlignment="1">
      <alignment horizontal="center"/>
    </xf>
    <xf numFmtId="0" fontId="15" fillId="2" borderId="47" xfId="2" applyFont="1" applyFill="1" applyBorder="1" applyAlignment="1">
      <alignment horizontal="center" vertical="center"/>
    </xf>
    <xf numFmtId="0" fontId="15" fillId="2" borderId="50" xfId="2" applyFont="1" applyFill="1" applyBorder="1" applyAlignment="1"/>
    <xf numFmtId="0" fontId="15" fillId="2" borderId="16" xfId="2" applyFont="1" applyFill="1" applyBorder="1" applyAlignment="1"/>
    <xf numFmtId="0" fontId="15" fillId="2" borderId="2" xfId="0" applyFont="1" applyFill="1" applyBorder="1"/>
    <xf numFmtId="0" fontId="15" fillId="0" borderId="2" xfId="0" applyFont="1" applyBorder="1"/>
    <xf numFmtId="1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15" fillId="2" borderId="42" xfId="0" applyFont="1" applyFill="1" applyBorder="1" applyAlignment="1">
      <alignment horizontal="center" vertical="center"/>
    </xf>
    <xf numFmtId="0" fontId="39" fillId="2" borderId="2" xfId="2" applyFont="1" applyFill="1" applyBorder="1" applyAlignment="1">
      <alignment horizontal="center"/>
    </xf>
    <xf numFmtId="2" fontId="15" fillId="2" borderId="47" xfId="2" applyNumberFormat="1" applyFont="1" applyFill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/>
    </xf>
    <xf numFmtId="0" fontId="15" fillId="0" borderId="42" xfId="0" applyNumberFormat="1" applyFont="1" applyBorder="1" applyAlignment="1">
      <alignment horizontal="center" vertical="center"/>
    </xf>
    <xf numFmtId="0" fontId="15" fillId="2" borderId="47" xfId="0" applyNumberFormat="1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/>
    </xf>
    <xf numFmtId="0" fontId="15" fillId="2" borderId="47" xfId="0" applyFont="1" applyFill="1" applyBorder="1" applyAlignment="1">
      <alignment horizontal="center"/>
    </xf>
    <xf numFmtId="0" fontId="15" fillId="2" borderId="47" xfId="0" applyFont="1" applyFill="1" applyBorder="1" applyAlignment="1">
      <alignment horizontal="center" vertical="center"/>
    </xf>
    <xf numFmtId="0" fontId="12" fillId="2" borderId="14" xfId="0" applyFont="1" applyFill="1" applyBorder="1" applyAlignment="1"/>
    <xf numFmtId="0" fontId="15" fillId="2" borderId="9" xfId="2" applyFont="1" applyFill="1" applyBorder="1" applyAlignment="1">
      <alignment horizontal="center" vertical="center"/>
    </xf>
    <xf numFmtId="0" fontId="13" fillId="0" borderId="57" xfId="0" applyFont="1" applyBorder="1" applyAlignment="1">
      <alignment horizontal="left"/>
    </xf>
    <xf numFmtId="2" fontId="15" fillId="0" borderId="47" xfId="0" applyNumberFormat="1" applyFont="1" applyBorder="1" applyAlignment="1">
      <alignment horizontal="center"/>
    </xf>
    <xf numFmtId="0" fontId="15" fillId="2" borderId="13" xfId="2" applyFont="1" applyFill="1" applyBorder="1" applyAlignment="1">
      <alignment horizontal="center"/>
    </xf>
    <xf numFmtId="0" fontId="15" fillId="2" borderId="48" xfId="2" applyFont="1" applyFill="1" applyBorder="1" applyAlignment="1"/>
    <xf numFmtId="0" fontId="0" fillId="0" borderId="1" xfId="0" applyBorder="1" applyAlignment="1">
      <alignment horizontal="center" vertical="center" wrapText="1"/>
    </xf>
    <xf numFmtId="0" fontId="4" fillId="2" borderId="51" xfId="2" applyFont="1" applyFill="1" applyBorder="1" applyAlignment="1">
      <alignment horizontal="center" vertical="center"/>
    </xf>
    <xf numFmtId="165" fontId="4" fillId="2" borderId="38" xfId="2" applyNumberFormat="1" applyFont="1" applyFill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5" fillId="2" borderId="70" xfId="2" applyFont="1" applyFill="1" applyBorder="1" applyAlignment="1">
      <alignment horizontal="left"/>
    </xf>
    <xf numFmtId="0" fontId="15" fillId="0" borderId="32" xfId="2" applyFont="1" applyFill="1" applyBorder="1" applyAlignment="1"/>
    <xf numFmtId="0" fontId="15" fillId="0" borderId="65" xfId="2" applyFont="1" applyFill="1" applyBorder="1" applyAlignment="1">
      <alignment vertical="center"/>
    </xf>
    <xf numFmtId="0" fontId="15" fillId="2" borderId="70" xfId="0" applyFont="1" applyFill="1" applyBorder="1" applyAlignment="1">
      <alignment horizontal="left"/>
    </xf>
    <xf numFmtId="0" fontId="15" fillId="2" borderId="29" xfId="2" applyFont="1" applyFill="1" applyBorder="1" applyAlignment="1"/>
    <xf numFmtId="0" fontId="15" fillId="2" borderId="9" xfId="2" applyFont="1" applyFill="1" applyBorder="1"/>
    <xf numFmtId="0" fontId="15" fillId="0" borderId="12" xfId="9" applyFont="1" applyBorder="1" applyAlignment="1">
      <alignment horizontal="center"/>
    </xf>
    <xf numFmtId="0" fontId="15" fillId="0" borderId="12" xfId="9" applyFont="1" applyBorder="1" applyAlignment="1">
      <alignment horizontal="left"/>
    </xf>
    <xf numFmtId="0" fontId="15" fillId="0" borderId="2" xfId="9" applyFont="1" applyBorder="1" applyAlignment="1">
      <alignment horizontal="center" vertical="center"/>
    </xf>
    <xf numFmtId="0" fontId="15" fillId="2" borderId="2" xfId="9" applyFont="1" applyFill="1" applyBorder="1" applyAlignment="1">
      <alignment horizontal="left" vertical="center"/>
    </xf>
    <xf numFmtId="0" fontId="15" fillId="0" borderId="2" xfId="9" applyFont="1" applyBorder="1" applyAlignment="1">
      <alignment horizontal="left" vertical="center"/>
    </xf>
    <xf numFmtId="0" fontId="15" fillId="0" borderId="2" xfId="9" applyFont="1" applyBorder="1" applyAlignment="1"/>
    <xf numFmtId="0" fontId="15" fillId="0" borderId="2" xfId="9" applyFont="1" applyBorder="1" applyAlignment="1">
      <alignment horizontal="center" vertical="center" shrinkToFit="1"/>
    </xf>
    <xf numFmtId="0" fontId="15" fillId="0" borderId="22" xfId="9" applyFont="1" applyBorder="1" applyAlignment="1">
      <alignment horizontal="center"/>
    </xf>
    <xf numFmtId="0" fontId="15" fillId="0" borderId="22" xfId="9" applyFont="1" applyBorder="1" applyAlignment="1"/>
    <xf numFmtId="0" fontId="15" fillId="0" borderId="22" xfId="9" applyNumberFormat="1" applyFont="1" applyBorder="1" applyAlignment="1">
      <alignment horizontal="center" vertical="center"/>
    </xf>
    <xf numFmtId="0" fontId="15" fillId="0" borderId="70" xfId="0" applyFont="1" applyBorder="1" applyAlignment="1"/>
    <xf numFmtId="0" fontId="15" fillId="0" borderId="29" xfId="0" applyFont="1" applyBorder="1" applyAlignment="1"/>
    <xf numFmtId="0" fontId="15" fillId="0" borderId="72" xfId="0" applyFont="1" applyBorder="1" applyAlignment="1">
      <alignment horizontal="center" vertical="center" wrapText="1"/>
    </xf>
    <xf numFmtId="2" fontId="15" fillId="2" borderId="62" xfId="2" applyNumberFormat="1" applyFont="1" applyFill="1" applyBorder="1" applyAlignment="1">
      <alignment horizontal="center" vertical="center"/>
    </xf>
    <xf numFmtId="0" fontId="15" fillId="0" borderId="70" xfId="0" applyFont="1" applyBorder="1" applyAlignment="1">
      <alignment horizontal="left" vertical="center" wrapText="1"/>
    </xf>
    <xf numFmtId="0" fontId="15" fillId="2" borderId="31" xfId="2" applyFont="1" applyFill="1" applyBorder="1" applyAlignment="1"/>
    <xf numFmtId="0" fontId="15" fillId="2" borderId="62" xfId="2" applyNumberFormat="1" applyFont="1" applyFill="1" applyBorder="1" applyAlignment="1">
      <alignment horizontal="center" vertical="center"/>
    </xf>
    <xf numFmtId="2" fontId="15" fillId="2" borderId="22" xfId="2" applyNumberFormat="1" applyFont="1" applyFill="1" applyBorder="1" applyAlignment="1">
      <alignment horizontal="center" vertical="center"/>
    </xf>
    <xf numFmtId="0" fontId="15" fillId="2" borderId="71" xfId="2" applyFont="1" applyFill="1" applyBorder="1" applyAlignment="1">
      <alignment vertical="center"/>
    </xf>
    <xf numFmtId="0" fontId="40" fillId="0" borderId="0" xfId="14" applyFont="1"/>
    <xf numFmtId="0" fontId="15" fillId="0" borderId="9" xfId="0" applyFont="1" applyBorder="1" applyAlignment="1">
      <alignment horizontal="center"/>
    </xf>
    <xf numFmtId="0" fontId="15" fillId="2" borderId="15" xfId="2" applyFont="1" applyFill="1" applyBorder="1"/>
    <xf numFmtId="2" fontId="15" fillId="2" borderId="1" xfId="0" applyNumberFormat="1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5" fillId="2" borderId="12" xfId="0" applyFont="1" applyFill="1" applyBorder="1" applyAlignment="1">
      <alignment vertical="center"/>
    </xf>
    <xf numFmtId="0" fontId="2" fillId="2" borderId="51" xfId="0" applyFont="1" applyFill="1" applyBorder="1" applyAlignment="1">
      <alignment horizontal="center"/>
    </xf>
    <xf numFmtId="0" fontId="15" fillId="2" borderId="51" xfId="2" applyFont="1" applyFill="1" applyBorder="1" applyAlignment="1"/>
    <xf numFmtId="0" fontId="15" fillId="2" borderId="73" xfId="2" applyFont="1" applyFill="1" applyBorder="1" applyAlignment="1"/>
    <xf numFmtId="0" fontId="15" fillId="2" borderId="38" xfId="2" applyFont="1" applyFill="1" applyBorder="1" applyAlignment="1">
      <alignment horizontal="center"/>
    </xf>
    <xf numFmtId="0" fontId="4" fillId="2" borderId="38" xfId="2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74" xfId="2" applyFont="1" applyFill="1" applyBorder="1" applyAlignment="1"/>
    <xf numFmtId="0" fontId="2" fillId="2" borderId="75" xfId="0" applyFont="1" applyFill="1" applyBorder="1" applyAlignment="1">
      <alignment horizontal="center"/>
    </xf>
    <xf numFmtId="0" fontId="15" fillId="2" borderId="76" xfId="2" applyNumberFormat="1" applyFont="1" applyFill="1" applyBorder="1" applyAlignment="1">
      <alignment horizontal="center" vertical="center"/>
    </xf>
    <xf numFmtId="0" fontId="15" fillId="2" borderId="76" xfId="2" applyFont="1" applyFill="1" applyBorder="1" applyAlignment="1">
      <alignment horizontal="center" vertical="center"/>
    </xf>
    <xf numFmtId="0" fontId="9" fillId="2" borderId="76" xfId="2" applyFont="1" applyFill="1" applyBorder="1" applyAlignment="1">
      <alignment horizontal="center" vertical="center" wrapText="1"/>
    </xf>
    <xf numFmtId="0" fontId="15" fillId="2" borderId="69" xfId="0" applyFont="1" applyFill="1" applyBorder="1" applyAlignment="1">
      <alignment horizontal="center" vertical="center"/>
    </xf>
    <xf numFmtId="0" fontId="9" fillId="2" borderId="77" xfId="2" applyFont="1" applyFill="1" applyBorder="1" applyAlignment="1">
      <alignment vertical="center"/>
    </xf>
    <xf numFmtId="0" fontId="4" fillId="2" borderId="59" xfId="0" applyFont="1" applyFill="1" applyBorder="1" applyAlignment="1">
      <alignment vertical="center"/>
    </xf>
    <xf numFmtId="0" fontId="2" fillId="2" borderId="48" xfId="0" applyFont="1" applyFill="1" applyBorder="1" applyAlignment="1">
      <alignment horizontal="center" vertical="center"/>
    </xf>
    <xf numFmtId="0" fontId="15" fillId="2" borderId="52" xfId="2" applyFont="1" applyFill="1" applyBorder="1" applyAlignment="1"/>
    <xf numFmtId="0" fontId="15" fillId="2" borderId="54" xfId="2" applyFont="1" applyFill="1" applyBorder="1" applyAlignment="1"/>
    <xf numFmtId="0" fontId="15" fillId="2" borderId="68" xfId="2" applyNumberFormat="1" applyFont="1" applyFill="1" applyBorder="1" applyAlignment="1">
      <alignment horizontal="center" vertical="center"/>
    </xf>
    <xf numFmtId="0" fontId="15" fillId="2" borderId="68" xfId="2" applyFont="1" applyFill="1" applyBorder="1" applyAlignment="1">
      <alignment horizontal="center"/>
    </xf>
    <xf numFmtId="0" fontId="4" fillId="2" borderId="68" xfId="2" applyFont="1" applyFill="1" applyBorder="1" applyAlignment="1">
      <alignment horizontal="center" vertical="center"/>
    </xf>
    <xf numFmtId="0" fontId="15" fillId="2" borderId="48" xfId="0" applyFont="1" applyFill="1" applyBorder="1" applyAlignment="1">
      <alignment horizontal="left"/>
    </xf>
    <xf numFmtId="0" fontId="21" fillId="2" borderId="2" xfId="0" applyFont="1" applyFill="1" applyBorder="1" applyAlignment="1">
      <alignment horizontal="center" vertical="center"/>
    </xf>
    <xf numFmtId="1" fontId="21" fillId="2" borderId="2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/>
    </xf>
    <xf numFmtId="0" fontId="4" fillId="2" borderId="74" xfId="0" applyFont="1" applyFill="1" applyBorder="1" applyAlignment="1"/>
    <xf numFmtId="0" fontId="15" fillId="0" borderId="5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2" borderId="13" xfId="2" applyFont="1" applyFill="1" applyBorder="1" applyAlignment="1">
      <alignment horizontal="center" vertical="center"/>
    </xf>
    <xf numFmtId="0" fontId="4" fillId="2" borderId="51" xfId="2" applyFont="1" applyFill="1" applyBorder="1" applyAlignment="1"/>
    <xf numFmtId="0" fontId="9" fillId="0" borderId="74" xfId="0" applyFont="1" applyBorder="1" applyAlignment="1">
      <alignment horizontal="center" vertical="center" wrapText="1"/>
    </xf>
    <xf numFmtId="0" fontId="15" fillId="2" borderId="76" xfId="0" applyNumberFormat="1" applyFont="1" applyFill="1" applyBorder="1" applyAlignment="1">
      <alignment horizontal="center" vertical="center"/>
    </xf>
    <xf numFmtId="0" fontId="15" fillId="2" borderId="76" xfId="0" applyFont="1" applyFill="1" applyBorder="1" applyAlignment="1">
      <alignment horizontal="center"/>
    </xf>
    <xf numFmtId="0" fontId="15" fillId="2" borderId="76" xfId="0" applyFont="1" applyFill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15" fillId="2" borderId="48" xfId="0" applyFont="1" applyFill="1" applyBorder="1" applyAlignment="1"/>
    <xf numFmtId="0" fontId="15" fillId="2" borderId="48" xfId="2" applyFont="1" applyFill="1" applyBorder="1" applyAlignment="1">
      <alignment horizontal="left" vertical="center"/>
    </xf>
    <xf numFmtId="0" fontId="15" fillId="2" borderId="48" xfId="0" applyFont="1" applyFill="1" applyBorder="1" applyAlignment="1">
      <alignment vertical="center"/>
    </xf>
    <xf numFmtId="0" fontId="15" fillId="2" borderId="48" xfId="2" applyFont="1" applyFill="1" applyBorder="1"/>
    <xf numFmtId="0" fontId="15" fillId="2" borderId="68" xfId="2" applyFont="1" applyFill="1" applyBorder="1" applyAlignment="1">
      <alignment horizontal="center" vertical="center"/>
    </xf>
    <xf numFmtId="0" fontId="4" fillId="2" borderId="52" xfId="2" applyFont="1" applyFill="1" applyBorder="1" applyAlignment="1"/>
    <xf numFmtId="0" fontId="0" fillId="3" borderId="0" xfId="0" applyFill="1"/>
    <xf numFmtId="0" fontId="13" fillId="0" borderId="51" xfId="0" applyFont="1" applyBorder="1" applyAlignment="1"/>
    <xf numFmtId="0" fontId="4" fillId="0" borderId="40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13" fillId="0" borderId="0" xfId="0" applyFont="1" applyFill="1" applyAlignment="1"/>
    <xf numFmtId="0" fontId="13" fillId="0" borderId="0" xfId="0" applyFont="1" applyFill="1"/>
    <xf numFmtId="0" fontId="25" fillId="0" borderId="0" xfId="0" applyFont="1" applyFill="1"/>
    <xf numFmtId="0" fontId="0" fillId="0" borderId="0" xfId="0" applyFill="1"/>
    <xf numFmtId="0" fontId="4" fillId="0" borderId="78" xfId="0" applyFont="1" applyFill="1" applyBorder="1" applyAlignment="1">
      <alignment horizontal="center"/>
    </xf>
    <xf numFmtId="0" fontId="4" fillId="0" borderId="79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4" fillId="0" borderId="80" xfId="0" applyFont="1" applyFill="1" applyBorder="1" applyAlignment="1">
      <alignment horizontal="center"/>
    </xf>
    <xf numFmtId="0" fontId="4" fillId="0" borderId="81" xfId="0" applyFont="1" applyFill="1" applyBorder="1" applyAlignment="1">
      <alignment horizontal="center"/>
    </xf>
    <xf numFmtId="0" fontId="4" fillId="0" borderId="74" xfId="0" applyFont="1" applyFill="1" applyBorder="1" applyAlignment="1">
      <alignment horizontal="center"/>
    </xf>
    <xf numFmtId="0" fontId="4" fillId="0" borderId="82" xfId="0" applyFont="1" applyFill="1" applyBorder="1" applyAlignment="1">
      <alignment horizontal="center"/>
    </xf>
    <xf numFmtId="0" fontId="2" fillId="0" borderId="83" xfId="0" applyFont="1" applyFill="1" applyBorder="1" applyAlignment="1">
      <alignment horizontal="center"/>
    </xf>
    <xf numFmtId="0" fontId="4" fillId="0" borderId="83" xfId="0" applyFont="1" applyFill="1" applyBorder="1" applyAlignment="1">
      <alignment horizontal="center"/>
    </xf>
    <xf numFmtId="0" fontId="4" fillId="0" borderId="84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85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4" fillId="0" borderId="0" xfId="0" applyFont="1" applyFill="1"/>
    <xf numFmtId="0" fontId="31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5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5" fillId="0" borderId="0" xfId="0" applyFont="1" applyFill="1"/>
    <xf numFmtId="0" fontId="4" fillId="2" borderId="40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13" fillId="2" borderId="0" xfId="0" applyFont="1" applyFill="1" applyAlignment="1"/>
    <xf numFmtId="0" fontId="13" fillId="2" borderId="0" xfId="0" applyFont="1" applyFill="1"/>
    <xf numFmtId="0" fontId="25" fillId="2" borderId="0" xfId="0" applyFont="1" applyFill="1"/>
    <xf numFmtId="0" fontId="0" fillId="0" borderId="0" xfId="0" applyFill="1" applyAlignment="1"/>
    <xf numFmtId="0" fontId="9" fillId="2" borderId="2" xfId="2" applyFont="1" applyFill="1" applyBorder="1" applyAlignment="1">
      <alignment horizontal="center" vertical="center"/>
    </xf>
    <xf numFmtId="2" fontId="15" fillId="2" borderId="9" xfId="2" applyNumberFormat="1" applyFont="1" applyFill="1" applyBorder="1" applyAlignment="1">
      <alignment horizontal="center" vertical="center"/>
    </xf>
    <xf numFmtId="0" fontId="15" fillId="2" borderId="87" xfId="0" applyFont="1" applyFill="1" applyBorder="1" applyAlignment="1">
      <alignment horizontal="left"/>
    </xf>
    <xf numFmtId="0" fontId="4" fillId="2" borderId="32" xfId="2" applyFont="1" applyFill="1" applyBorder="1" applyAlignment="1">
      <alignment horizontal="left" vertical="center"/>
    </xf>
    <xf numFmtId="0" fontId="4" fillId="2" borderId="5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 vertical="center"/>
    </xf>
    <xf numFmtId="0" fontId="15" fillId="2" borderId="11" xfId="2" applyFont="1" applyFill="1" applyBorder="1" applyAlignment="1"/>
    <xf numFmtId="0" fontId="20" fillId="2" borderId="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0" borderId="68" xfId="0" applyFont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15" fillId="2" borderId="38" xfId="2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5" fillId="0" borderId="12" xfId="0" applyFont="1" applyFill="1" applyBorder="1" applyAlignment="1">
      <alignment horizontal="left" vertical="center"/>
    </xf>
    <xf numFmtId="0" fontId="15" fillId="0" borderId="2" xfId="2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0" fillId="0" borderId="0" xfId="0" applyFont="1" applyFill="1"/>
    <xf numFmtId="0" fontId="14" fillId="0" borderId="0" xfId="0" applyFont="1" applyFill="1"/>
    <xf numFmtId="0" fontId="4" fillId="4" borderId="40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4" fillId="4" borderId="32" xfId="0" applyFont="1" applyFill="1" applyBorder="1"/>
    <xf numFmtId="0" fontId="4" fillId="4" borderId="0" xfId="0" applyFont="1" applyFill="1" applyBorder="1" applyAlignment="1">
      <alignment horizontal="center"/>
    </xf>
    <xf numFmtId="0" fontId="0" fillId="4" borderId="0" xfId="0" applyFill="1" applyAlignment="1"/>
    <xf numFmtId="0" fontId="13" fillId="4" borderId="0" xfId="0" applyFont="1" applyFill="1"/>
    <xf numFmtId="0" fontId="25" fillId="4" borderId="0" xfId="0" applyFont="1" applyFill="1"/>
    <xf numFmtId="0" fontId="0" fillId="4" borderId="0" xfId="0" applyFill="1"/>
    <xf numFmtId="0" fontId="4" fillId="2" borderId="9" xfId="2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2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Alignment="1"/>
    <xf numFmtId="0" fontId="8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Alignment="1"/>
    <xf numFmtId="0" fontId="9" fillId="0" borderId="4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Alignment="1"/>
    <xf numFmtId="0" fontId="15" fillId="2" borderId="32" xfId="0" applyFont="1" applyFill="1" applyBorder="1" applyAlignment="1">
      <alignment horizontal="center" vertical="center"/>
    </xf>
    <xf numFmtId="0" fontId="15" fillId="2" borderId="32" xfId="2" applyFont="1" applyFill="1" applyBorder="1" applyAlignment="1">
      <alignment horizontal="center" vertical="center"/>
    </xf>
    <xf numFmtId="0" fontId="15" fillId="2" borderId="107" xfId="2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/>
    </xf>
    <xf numFmtId="0" fontId="15" fillId="2" borderId="99" xfId="2" applyFont="1" applyFill="1" applyBorder="1" applyAlignment="1">
      <alignment horizontal="center" vertical="center"/>
    </xf>
    <xf numFmtId="0" fontId="15" fillId="2" borderId="7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wrapText="1"/>
    </xf>
    <xf numFmtId="0" fontId="15" fillId="2" borderId="57" xfId="2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7" fillId="0" borderId="0" xfId="5" applyFont="1" applyAlignment="1"/>
    <xf numFmtId="0" fontId="7" fillId="0" borderId="0" xfId="5" applyFont="1" applyBorder="1" applyAlignment="1"/>
    <xf numFmtId="0" fontId="20" fillId="0" borderId="0" xfId="14" applyFont="1" applyBorder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/>
    <xf numFmtId="0" fontId="7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/>
    </xf>
    <xf numFmtId="0" fontId="4" fillId="4" borderId="2" xfId="0" applyFont="1" applyFill="1" applyBorder="1"/>
    <xf numFmtId="0" fontId="1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2" borderId="32" xfId="2" applyFont="1" applyFill="1" applyBorder="1" applyAlignment="1">
      <alignment horizontal="left" vertical="center" wrapText="1"/>
    </xf>
    <xf numFmtId="0" fontId="4" fillId="2" borderId="10" xfId="2" applyFont="1" applyFill="1" applyBorder="1" applyAlignment="1">
      <alignment horizontal="left" vertical="center" wrapText="1"/>
    </xf>
    <xf numFmtId="49" fontId="13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/>
    <xf numFmtId="0" fontId="4" fillId="2" borderId="0" xfId="0" applyFont="1" applyFill="1" applyBorder="1" applyAlignment="1"/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 vertical="center"/>
    </xf>
    <xf numFmtId="2" fontId="15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/>
    <xf numFmtId="0" fontId="2" fillId="2" borderId="0" xfId="0" applyFont="1" applyFill="1" applyBorder="1" applyAlignment="1"/>
    <xf numFmtId="0" fontId="2" fillId="2" borderId="0" xfId="0" applyNumberFormat="1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/>
    </xf>
    <xf numFmtId="0" fontId="12" fillId="2" borderId="9" xfId="2" applyFont="1" applyFill="1" applyBorder="1" applyAlignment="1">
      <alignment horizontal="left" vertical="center"/>
    </xf>
    <xf numFmtId="0" fontId="43" fillId="2" borderId="9" xfId="2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9" xfId="2" applyFont="1" applyFill="1" applyBorder="1" applyAlignment="1">
      <alignment horizontal="left" vertical="center"/>
    </xf>
    <xf numFmtId="0" fontId="15" fillId="2" borderId="32" xfId="2" applyFont="1" applyFill="1" applyBorder="1" applyAlignment="1">
      <alignment horizontal="left" vertical="center"/>
    </xf>
    <xf numFmtId="0" fontId="15" fillId="2" borderId="14" xfId="2" applyFont="1" applyFill="1" applyBorder="1" applyAlignment="1">
      <alignment horizontal="left"/>
    </xf>
    <xf numFmtId="0" fontId="15" fillId="2" borderId="10" xfId="0" applyFont="1" applyFill="1" applyBorder="1" applyAlignment="1">
      <alignment horizontal="left"/>
    </xf>
    <xf numFmtId="0" fontId="15" fillId="2" borderId="11" xfId="2" applyFont="1" applyFill="1" applyBorder="1" applyAlignment="1">
      <alignment horizontal="left" vertical="center"/>
    </xf>
    <xf numFmtId="0" fontId="15" fillId="2" borderId="10" xfId="2" applyFont="1" applyFill="1" applyBorder="1" applyAlignment="1">
      <alignment horizontal="left" vertical="center"/>
    </xf>
    <xf numFmtId="0" fontId="15" fillId="2" borderId="10" xfId="2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center" vertical="center" wrapText="1"/>
    </xf>
    <xf numFmtId="2" fontId="15" fillId="2" borderId="2" xfId="0" applyNumberFormat="1" applyFont="1" applyFill="1" applyBorder="1" applyAlignment="1">
      <alignment horizontal="center" vertical="center" wrapText="1"/>
    </xf>
    <xf numFmtId="0" fontId="15" fillId="2" borderId="12" xfId="0" applyNumberFormat="1" applyFont="1" applyFill="1" applyBorder="1" applyAlignment="1">
      <alignment horizontal="center" vertical="center"/>
    </xf>
    <xf numFmtId="0" fontId="15" fillId="2" borderId="14" xfId="2" applyFont="1" applyFill="1" applyBorder="1" applyAlignment="1">
      <alignment horizontal="left" vertical="center" wrapText="1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/>
    </xf>
    <xf numFmtId="0" fontId="15" fillId="2" borderId="10" xfId="2" applyFont="1" applyFill="1" applyBorder="1" applyAlignment="1"/>
    <xf numFmtId="49" fontId="2" fillId="2" borderId="0" xfId="0" applyNumberFormat="1" applyFont="1" applyFill="1" applyBorder="1" applyAlignment="1">
      <alignment horizontal="center"/>
    </xf>
    <xf numFmtId="0" fontId="15" fillId="2" borderId="0" xfId="2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49" fontId="15" fillId="2" borderId="9" xfId="0" applyNumberFormat="1" applyFont="1" applyFill="1" applyBorder="1" applyAlignment="1">
      <alignment horizontal="center"/>
    </xf>
    <xf numFmtId="0" fontId="15" fillId="0" borderId="2" xfId="0" quotePrefix="1" applyFont="1" applyBorder="1" applyAlignment="1">
      <alignment horizontal="center"/>
    </xf>
    <xf numFmtId="0" fontId="15" fillId="2" borderId="50" xfId="2" applyFont="1" applyFill="1" applyBorder="1" applyAlignment="1">
      <alignment horizontal="left"/>
    </xf>
    <xf numFmtId="0" fontId="15" fillId="2" borderId="14" xfId="2" applyFont="1" applyFill="1" applyBorder="1" applyAlignment="1">
      <alignment vertical="center" wrapText="1"/>
    </xf>
    <xf numFmtId="0" fontId="15" fillId="2" borderId="61" xfId="2" applyFont="1" applyFill="1" applyBorder="1" applyAlignment="1">
      <alignment horizontal="left"/>
    </xf>
    <xf numFmtId="49" fontId="15" fillId="0" borderId="9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left" wrapText="1"/>
    </xf>
    <xf numFmtId="49" fontId="15" fillId="2" borderId="0" xfId="0" applyNumberFormat="1" applyFont="1" applyFill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15" fillId="2" borderId="0" xfId="2" applyFont="1" applyFill="1" applyBorder="1" applyAlignment="1">
      <alignment horizontal="left" vertical="center"/>
    </xf>
    <xf numFmtId="0" fontId="15" fillId="2" borderId="0" xfId="2" applyNumberFormat="1" applyFont="1" applyFill="1" applyBorder="1" applyAlignment="1">
      <alignment horizontal="center" vertical="center"/>
    </xf>
    <xf numFmtId="2" fontId="15" fillId="2" borderId="0" xfId="2" applyNumberFormat="1" applyFont="1" applyFill="1" applyBorder="1" applyAlignment="1">
      <alignment horizontal="center" vertical="center"/>
    </xf>
    <xf numFmtId="0" fontId="15" fillId="2" borderId="0" xfId="2" applyFont="1" applyFill="1" applyBorder="1" applyAlignment="1">
      <alignment horizontal="left" vertical="center" wrapText="1"/>
    </xf>
    <xf numFmtId="0" fontId="21" fillId="2" borderId="0" xfId="2" applyFont="1" applyFill="1" applyBorder="1" applyAlignment="1">
      <alignment horizontal="left" vertical="center"/>
    </xf>
    <xf numFmtId="0" fontId="21" fillId="2" borderId="0" xfId="2" applyNumberFormat="1" applyFont="1" applyFill="1" applyBorder="1" applyAlignment="1">
      <alignment horizontal="center" vertical="center"/>
    </xf>
    <xf numFmtId="0" fontId="21" fillId="2" borderId="0" xfId="2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5" fillId="2" borderId="9" xfId="0" applyFont="1" applyFill="1" applyBorder="1" applyAlignment="1">
      <alignment horizontal="left" vertical="center"/>
    </xf>
    <xf numFmtId="0" fontId="15" fillId="2" borderId="9" xfId="2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wrapText="1"/>
    </xf>
    <xf numFmtId="0" fontId="3" fillId="0" borderId="0" xfId="0" applyFont="1" applyBorder="1" applyAlignment="1"/>
    <xf numFmtId="0" fontId="4" fillId="0" borderId="0" xfId="0" applyFont="1" applyAlignment="1"/>
    <xf numFmtId="0" fontId="9" fillId="0" borderId="18" xfId="9" applyFont="1" applyFill="1" applyBorder="1" applyAlignment="1">
      <alignment horizontal="center" vertical="center" wrapText="1"/>
    </xf>
    <xf numFmtId="0" fontId="15" fillId="2" borderId="2" xfId="2" applyFont="1" applyFill="1" applyBorder="1" applyAlignment="1">
      <alignment horizontal="left"/>
    </xf>
    <xf numFmtId="0" fontId="15" fillId="2" borderId="108" xfId="2" applyFont="1" applyFill="1" applyBorder="1" applyAlignment="1">
      <alignment vertical="center"/>
    </xf>
    <xf numFmtId="0" fontId="15" fillId="2" borderId="108" xfId="2" applyFont="1" applyFill="1" applyBorder="1" applyAlignment="1">
      <alignment horizontal="left" vertical="center"/>
    </xf>
    <xf numFmtId="0" fontId="15" fillId="0" borderId="107" xfId="0" applyFont="1" applyBorder="1" applyAlignment="1"/>
    <xf numFmtId="0" fontId="15" fillId="0" borderId="108" xfId="0" applyFont="1" applyBorder="1" applyAlignment="1"/>
    <xf numFmtId="0" fontId="44" fillId="0" borderId="0" xfId="14" applyFont="1"/>
    <xf numFmtId="0" fontId="15" fillId="2" borderId="2" xfId="2" applyFont="1" applyFill="1" applyBorder="1" applyAlignment="1">
      <alignment vertical="center"/>
    </xf>
    <xf numFmtId="0" fontId="15" fillId="0" borderId="23" xfId="9" applyFont="1" applyBorder="1" applyAlignment="1">
      <alignment horizontal="center"/>
    </xf>
    <xf numFmtId="0" fontId="15" fillId="0" borderId="62" xfId="0" applyNumberFormat="1" applyFont="1" applyBorder="1" applyAlignment="1">
      <alignment horizontal="center"/>
    </xf>
    <xf numFmtId="0" fontId="15" fillId="0" borderId="27" xfId="0" applyFont="1" applyBorder="1" applyAlignment="1"/>
    <xf numFmtId="0" fontId="15" fillId="0" borderId="109" xfId="0" applyFont="1" applyBorder="1" applyAlignment="1">
      <alignment horizontal="left"/>
    </xf>
    <xf numFmtId="0" fontId="15" fillId="0" borderId="28" xfId="9" applyFont="1" applyBorder="1" applyAlignment="1">
      <alignment horizontal="center"/>
    </xf>
    <xf numFmtId="0" fontId="15" fillId="0" borderId="36" xfId="9" applyFont="1" applyBorder="1" applyAlignment="1">
      <alignment horizontal="center"/>
    </xf>
    <xf numFmtId="0" fontId="15" fillId="0" borderId="27" xfId="9" applyFont="1" applyBorder="1" applyAlignment="1">
      <alignment horizontal="center"/>
    </xf>
    <xf numFmtId="0" fontId="15" fillId="0" borderId="12" xfId="9" applyFont="1" applyBorder="1" applyAlignment="1">
      <alignment horizontal="center" vertical="center"/>
    </xf>
    <xf numFmtId="0" fontId="15" fillId="2" borderId="32" xfId="9" applyFont="1" applyFill="1" applyBorder="1" applyAlignment="1">
      <alignment horizontal="left" vertical="center"/>
    </xf>
    <xf numFmtId="0" fontId="15" fillId="0" borderId="2" xfId="9" applyNumberFormat="1" applyFont="1" applyBorder="1" applyAlignment="1">
      <alignment horizontal="center" vertical="center" shrinkToFit="1"/>
    </xf>
    <xf numFmtId="0" fontId="15" fillId="0" borderId="2" xfId="9" applyNumberFormat="1" applyFont="1" applyBorder="1" applyAlignment="1">
      <alignment horizontal="center" vertical="center"/>
    </xf>
    <xf numFmtId="0" fontId="15" fillId="0" borderId="23" xfId="9" applyNumberFormat="1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left" vertical="center"/>
    </xf>
    <xf numFmtId="2" fontId="15" fillId="2" borderId="22" xfId="0" applyNumberFormat="1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2" borderId="57" xfId="2" applyFont="1" applyFill="1" applyBorder="1" applyAlignment="1"/>
    <xf numFmtId="0" fontId="12" fillId="0" borderId="32" xfId="0" applyFont="1" applyBorder="1" applyAlignment="1">
      <alignment horizontal="left"/>
    </xf>
    <xf numFmtId="0" fontId="9" fillId="2" borderId="32" xfId="0" applyFont="1" applyFill="1" applyBorder="1" applyAlignment="1">
      <alignment horizontal="left"/>
    </xf>
    <xf numFmtId="0" fontId="43" fillId="2" borderId="2" xfId="2" applyFont="1" applyFill="1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/>
    <xf numFmtId="0" fontId="43" fillId="0" borderId="2" xfId="0" applyFont="1" applyBorder="1" applyAlignment="1">
      <alignment horizontal="left"/>
    </xf>
    <xf numFmtId="0" fontId="15" fillId="2" borderId="2" xfId="2" applyFont="1" applyFill="1" applyBorder="1" applyAlignment="1">
      <alignment horizontal="left" vertical="center"/>
    </xf>
    <xf numFmtId="0" fontId="12" fillId="2" borderId="2" xfId="2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2" fillId="2" borderId="2" xfId="2" applyFont="1" applyFill="1" applyBorder="1" applyAlignment="1">
      <alignment horizontal="left"/>
    </xf>
    <xf numFmtId="0" fontId="45" fillId="2" borderId="2" xfId="0" applyFont="1" applyFill="1" applyBorder="1" applyAlignment="1">
      <alignment horizontal="left"/>
    </xf>
    <xf numFmtId="0" fontId="43" fillId="2" borderId="32" xfId="0" applyFont="1" applyFill="1" applyBorder="1" applyAlignment="1">
      <alignment horizontal="left"/>
    </xf>
    <xf numFmtId="0" fontId="15" fillId="2" borderId="58" xfId="2" applyFont="1" applyFill="1" applyBorder="1" applyAlignment="1">
      <alignment horizontal="center" vertical="center"/>
    </xf>
    <xf numFmtId="0" fontId="15" fillId="0" borderId="107" xfId="0" applyFont="1" applyBorder="1" applyAlignment="1">
      <alignment horizontal="center" vertical="center"/>
    </xf>
    <xf numFmtId="0" fontId="15" fillId="2" borderId="74" xfId="2" applyFont="1" applyFill="1" applyBorder="1" applyAlignment="1">
      <alignment horizontal="center" vertical="center"/>
    </xf>
    <xf numFmtId="0" fontId="15" fillId="0" borderId="99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2" borderId="107" xfId="0" applyFont="1" applyFill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2" borderId="99" xfId="0" applyFont="1" applyFill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/>
    </xf>
    <xf numFmtId="0" fontId="9" fillId="2" borderId="9" xfId="2" applyFont="1" applyFill="1" applyBorder="1" applyAlignment="1">
      <alignment horizontal="left"/>
    </xf>
    <xf numFmtId="0" fontId="43" fillId="2" borderId="9" xfId="0" applyFont="1" applyFill="1" applyBorder="1" applyAlignment="1">
      <alignment horizontal="left"/>
    </xf>
    <xf numFmtId="0" fontId="15" fillId="0" borderId="82" xfId="0" applyFont="1" applyBorder="1" applyAlignment="1"/>
    <xf numFmtId="0" fontId="15" fillId="0" borderId="74" xfId="0" applyFont="1" applyBorder="1" applyAlignment="1"/>
    <xf numFmtId="2" fontId="15" fillId="2" borderId="1" xfId="0" applyNumberFormat="1" applyFont="1" applyFill="1" applyBorder="1" applyAlignment="1">
      <alignment horizontal="center" vertical="center" wrapText="1"/>
    </xf>
    <xf numFmtId="2" fontId="15" fillId="0" borderId="12" xfId="0" applyNumberFormat="1" applyFont="1" applyBorder="1" applyAlignment="1">
      <alignment horizontal="center" vertical="center" wrapText="1"/>
    </xf>
    <xf numFmtId="0" fontId="12" fillId="2" borderId="50" xfId="2" applyFont="1" applyFill="1" applyBorder="1" applyAlignment="1">
      <alignment horizontal="left"/>
    </xf>
    <xf numFmtId="2" fontId="15" fillId="2" borderId="47" xfId="0" applyNumberFormat="1" applyFont="1" applyFill="1" applyBorder="1" applyAlignment="1">
      <alignment horizontal="center" vertical="center" wrapText="1"/>
    </xf>
    <xf numFmtId="0" fontId="42" fillId="2" borderId="42" xfId="0" applyFont="1" applyFill="1" applyBorder="1" applyAlignment="1">
      <alignment horizontal="center" vertical="center"/>
    </xf>
    <xf numFmtId="0" fontId="15" fillId="2" borderId="91" xfId="0" applyFont="1" applyFill="1" applyBorder="1" applyAlignment="1">
      <alignment horizontal="left"/>
    </xf>
    <xf numFmtId="0" fontId="4" fillId="2" borderId="50" xfId="0" applyFont="1" applyFill="1" applyBorder="1" applyAlignment="1">
      <alignment horizontal="left"/>
    </xf>
    <xf numFmtId="2" fontId="15" fillId="2" borderId="42" xfId="0" applyNumberFormat="1" applyFont="1" applyFill="1" applyBorder="1" applyAlignment="1">
      <alignment horizontal="center" vertical="center"/>
    </xf>
    <xf numFmtId="49" fontId="15" fillId="2" borderId="51" xfId="0" applyNumberFormat="1" applyFont="1" applyFill="1" applyBorder="1" applyAlignment="1">
      <alignment horizontal="center"/>
    </xf>
    <xf numFmtId="0" fontId="13" fillId="2" borderId="47" xfId="0" applyFont="1" applyFill="1" applyBorder="1" applyAlignment="1">
      <alignment horizontal="center" vertical="center" wrapText="1"/>
    </xf>
    <xf numFmtId="49" fontId="15" fillId="2" borderId="5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/>
    <xf numFmtId="0" fontId="15" fillId="2" borderId="9" xfId="0" applyFont="1" applyFill="1" applyBorder="1" applyAlignment="1">
      <alignment horizontal="left" vertical="center"/>
    </xf>
    <xf numFmtId="0" fontId="15" fillId="2" borderId="9" xfId="2" applyFont="1" applyFill="1" applyBorder="1" applyAlignment="1">
      <alignment horizontal="left" vertical="center"/>
    </xf>
    <xf numFmtId="0" fontId="2" fillId="0" borderId="0" xfId="7" applyFont="1" applyBorder="1" applyAlignment="1">
      <alignment horizontal="right"/>
    </xf>
    <xf numFmtId="0" fontId="21" fillId="0" borderId="7" xfId="7" applyFont="1" applyBorder="1" applyAlignment="1"/>
    <xf numFmtId="0" fontId="2" fillId="0" borderId="0" xfId="0" applyFont="1" applyAlignment="1">
      <alignment horizontal="center"/>
    </xf>
    <xf numFmtId="0" fontId="3" fillId="0" borderId="0" xfId="0" applyFont="1" applyBorder="1" applyAlignment="1"/>
    <xf numFmtId="0" fontId="4" fillId="0" borderId="0" xfId="0" applyFont="1" applyAlignment="1"/>
    <xf numFmtId="0" fontId="15" fillId="0" borderId="39" xfId="0" applyFont="1" applyBorder="1"/>
    <xf numFmtId="0" fontId="15" fillId="2" borderId="48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5" fillId="2" borderId="66" xfId="2" applyFont="1" applyFill="1" applyBorder="1" applyAlignment="1">
      <alignment horizontal="left"/>
    </xf>
    <xf numFmtId="0" fontId="15" fillId="2" borderId="10" xfId="2" applyFont="1" applyFill="1" applyBorder="1" applyAlignment="1">
      <alignment vertical="center" wrapText="1"/>
    </xf>
    <xf numFmtId="0" fontId="43" fillId="0" borderId="41" xfId="13" applyFont="1" applyBorder="1" applyAlignment="1"/>
    <xf numFmtId="0" fontId="15" fillId="0" borderId="22" xfId="9" applyFont="1" applyBorder="1" applyAlignment="1">
      <alignment horizontal="center" vertical="center"/>
    </xf>
    <xf numFmtId="0" fontId="15" fillId="2" borderId="70" xfId="0" applyFont="1" applyFill="1" applyBorder="1" applyAlignment="1">
      <alignment horizontal="left" vertical="center" wrapText="1"/>
    </xf>
    <xf numFmtId="2" fontId="15" fillId="2" borderId="23" xfId="2" applyNumberFormat="1" applyFont="1" applyFill="1" applyBorder="1" applyAlignment="1">
      <alignment horizontal="center" vertical="center"/>
    </xf>
    <xf numFmtId="0" fontId="15" fillId="0" borderId="43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/>
    </xf>
    <xf numFmtId="0" fontId="15" fillId="2" borderId="1" xfId="2" quotePrefix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17" fontId="4" fillId="4" borderId="2" xfId="0" applyNumberFormat="1" applyFont="1" applyFill="1" applyBorder="1"/>
    <xf numFmtId="17" fontId="4" fillId="0" borderId="2" xfId="0" applyNumberFormat="1" applyFont="1" applyBorder="1"/>
    <xf numFmtId="0" fontId="4" fillId="0" borderId="81" xfId="0" applyNumberFormat="1" applyFont="1" applyFill="1" applyBorder="1" applyAlignment="1">
      <alignment horizontal="center"/>
    </xf>
    <xf numFmtId="0" fontId="4" fillId="0" borderId="82" xfId="0" applyNumberFormat="1" applyFont="1" applyFill="1" applyBorder="1" applyAlignment="1">
      <alignment horizontal="center"/>
    </xf>
    <xf numFmtId="0" fontId="4" fillId="0" borderId="40" xfId="0" applyNumberFormat="1" applyFont="1" applyFill="1" applyBorder="1" applyAlignment="1">
      <alignment horizontal="center"/>
    </xf>
    <xf numFmtId="0" fontId="4" fillId="0" borderId="83" xfId="0" applyNumberFormat="1" applyFont="1" applyFill="1" applyBorder="1" applyAlignment="1">
      <alignment horizontal="center"/>
    </xf>
    <xf numFmtId="0" fontId="4" fillId="0" borderId="84" xfId="0" applyNumberFormat="1" applyFont="1" applyFill="1" applyBorder="1" applyAlignment="1">
      <alignment horizontal="center"/>
    </xf>
    <xf numFmtId="0" fontId="4" fillId="0" borderId="10" xfId="0" applyNumberFormat="1" applyFont="1" applyFill="1" applyBorder="1" applyAlignment="1">
      <alignment horizontal="center"/>
    </xf>
    <xf numFmtId="0" fontId="4" fillId="0" borderId="32" xfId="0" applyNumberFormat="1" applyFont="1" applyFill="1" applyBorder="1" applyAlignment="1">
      <alignment horizontal="center"/>
    </xf>
    <xf numFmtId="0" fontId="4" fillId="0" borderId="11" xfId="0" applyNumberFormat="1" applyFont="1" applyFill="1" applyBorder="1" applyAlignment="1">
      <alignment horizontal="center"/>
    </xf>
    <xf numFmtId="0" fontId="4" fillId="4" borderId="32" xfId="0" applyNumberFormat="1" applyFont="1" applyFill="1" applyBorder="1" applyAlignment="1">
      <alignment horizontal="center"/>
    </xf>
    <xf numFmtId="0" fontId="4" fillId="2" borderId="32" xfId="0" applyNumberFormat="1" applyFont="1" applyFill="1" applyBorder="1" applyAlignment="1">
      <alignment horizontal="center"/>
    </xf>
    <xf numFmtId="0" fontId="9" fillId="2" borderId="32" xfId="2" applyFont="1" applyFill="1" applyBorder="1" applyAlignment="1">
      <alignment horizontal="left"/>
    </xf>
    <xf numFmtId="0" fontId="43" fillId="2" borderId="32" xfId="2" applyFont="1" applyFill="1" applyBorder="1" applyAlignment="1">
      <alignment horizontal="left"/>
    </xf>
    <xf numFmtId="0" fontId="12" fillId="2" borderId="32" xfId="2" applyFont="1" applyFill="1" applyBorder="1" applyAlignment="1">
      <alignment horizontal="left"/>
    </xf>
    <xf numFmtId="0" fontId="4" fillId="0" borderId="32" xfId="0" applyFont="1" applyBorder="1" applyAlignment="1"/>
    <xf numFmtId="0" fontId="43" fillId="0" borderId="32" xfId="0" applyFont="1" applyBorder="1" applyAlignment="1"/>
    <xf numFmtId="0" fontId="15" fillId="2" borderId="9" xfId="0" applyFont="1" applyFill="1" applyBorder="1" applyAlignment="1">
      <alignment horizontal="center"/>
    </xf>
    <xf numFmtId="0" fontId="4" fillId="4" borderId="82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1" xfId="0" applyFont="1" applyFill="1" applyBorder="1"/>
    <xf numFmtId="0" fontId="4" fillId="4" borderId="11" xfId="0" applyNumberFormat="1" applyFont="1" applyFill="1" applyBorder="1" applyAlignment="1">
      <alignment horizontal="center"/>
    </xf>
    <xf numFmtId="0" fontId="15" fillId="2" borderId="42" xfId="2" applyFont="1" applyFill="1" applyBorder="1" applyAlignment="1">
      <alignment horizontal="center" vertical="center"/>
    </xf>
    <xf numFmtId="0" fontId="4" fillId="4" borderId="0" xfId="0" applyFont="1" applyFill="1" applyBorder="1"/>
    <xf numFmtId="0" fontId="15" fillId="0" borderId="22" xfId="0" applyFont="1" applyFill="1" applyBorder="1" applyAlignment="1">
      <alignment horizontal="left"/>
    </xf>
    <xf numFmtId="0" fontId="4" fillId="0" borderId="110" xfId="0" applyFont="1" applyFill="1" applyBorder="1" applyAlignment="1">
      <alignment horizontal="center"/>
    </xf>
    <xf numFmtId="0" fontId="4" fillId="0" borderId="105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106" xfId="0" applyFont="1" applyFill="1" applyBorder="1" applyAlignment="1">
      <alignment horizontal="center"/>
    </xf>
    <xf numFmtId="0" fontId="4" fillId="0" borderId="101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0" fontId="4" fillId="4" borderId="105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2" fillId="0" borderId="106" xfId="0" applyFont="1" applyFill="1" applyBorder="1" applyAlignment="1">
      <alignment horizontal="center"/>
    </xf>
    <xf numFmtId="2" fontId="13" fillId="0" borderId="0" xfId="11" applyNumberFormat="1" applyFont="1" applyBorder="1" applyAlignment="1">
      <alignment horizontal="center"/>
    </xf>
    <xf numFmtId="0" fontId="13" fillId="0" borderId="25" xfId="13" applyFont="1" applyBorder="1"/>
    <xf numFmtId="0" fontId="13" fillId="0" borderId="44" xfId="13" applyFont="1" applyBorder="1"/>
    <xf numFmtId="0" fontId="13" fillId="0" borderId="0" xfId="13" applyFont="1" applyBorder="1"/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7" fillId="0" borderId="88" xfId="0" applyFont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86" xfId="0" applyBorder="1" applyAlignment="1">
      <alignment horizontal="center" vertical="center" wrapText="1"/>
    </xf>
    <xf numFmtId="0" fontId="7" fillId="0" borderId="89" xfId="0" applyFont="1" applyBorder="1" applyAlignment="1">
      <alignment horizontal="center"/>
    </xf>
    <xf numFmtId="0" fontId="7" fillId="0" borderId="86" xfId="0" applyFont="1" applyBorder="1" applyAlignment="1">
      <alignment horizontal="center"/>
    </xf>
    <xf numFmtId="0" fontId="7" fillId="0" borderId="9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8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6" fillId="0" borderId="7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wrapText="1"/>
    </xf>
    <xf numFmtId="0" fontId="8" fillId="0" borderId="2" xfId="0" applyFont="1" applyBorder="1" applyAlignment="1">
      <alignment horizontal="center"/>
    </xf>
    <xf numFmtId="0" fontId="2" fillId="0" borderId="0" xfId="0" applyFont="1" applyAlignment="1"/>
    <xf numFmtId="0" fontId="36" fillId="0" borderId="0" xfId="0" applyFont="1" applyAlignment="1"/>
    <xf numFmtId="0" fontId="15" fillId="2" borderId="15" xfId="2" applyFont="1" applyFill="1" applyBorder="1" applyAlignment="1">
      <alignment vertical="center"/>
    </xf>
    <xf numFmtId="0" fontId="37" fillId="0" borderId="15" xfId="0" applyFont="1" applyBorder="1" applyAlignment="1">
      <alignment vertical="center"/>
    </xf>
    <xf numFmtId="0" fontId="37" fillId="0" borderId="13" xfId="0" applyFont="1" applyBorder="1" applyAlignment="1">
      <alignment vertical="center"/>
    </xf>
    <xf numFmtId="0" fontId="0" fillId="0" borderId="0" xfId="0" applyAlignment="1">
      <alignment horizontal="right"/>
    </xf>
    <xf numFmtId="0" fontId="0" fillId="0" borderId="38" xfId="0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15" fillId="2" borderId="52" xfId="0" applyFont="1" applyFill="1" applyBorder="1" applyAlignment="1">
      <alignment horizontal="left" vertical="center"/>
    </xf>
    <xf numFmtId="0" fontId="37" fillId="0" borderId="49" xfId="0" applyFont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37" fillId="0" borderId="13" xfId="0" applyFont="1" applyBorder="1" applyAlignment="1">
      <alignment horizontal="left" vertical="center"/>
    </xf>
    <xf numFmtId="0" fontId="15" fillId="2" borderId="56" xfId="0" applyFont="1" applyFill="1" applyBorder="1" applyAlignment="1">
      <alignment horizontal="left"/>
    </xf>
    <xf numFmtId="0" fontId="37" fillId="0" borderId="54" xfId="0" applyFont="1" applyBorder="1" applyAlignment="1">
      <alignment horizontal="left"/>
    </xf>
    <xf numFmtId="0" fontId="37" fillId="0" borderId="49" xfId="0" applyFont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5" fillId="2" borderId="9" xfId="2" applyFont="1" applyFill="1" applyBorder="1" applyAlignment="1">
      <alignment horizontal="left" vertical="center"/>
    </xf>
    <xf numFmtId="0" fontId="37" fillId="0" borderId="14" xfId="0" applyFont="1" applyBorder="1" applyAlignment="1">
      <alignment horizontal="left" vertical="center"/>
    </xf>
    <xf numFmtId="0" fontId="12" fillId="2" borderId="92" xfId="0" applyFont="1" applyFill="1" applyBorder="1" applyAlignment="1">
      <alignment horizontal="left" vertical="center"/>
    </xf>
    <xf numFmtId="0" fontId="23" fillId="0" borderId="93" xfId="0" applyFont="1" applyBorder="1" applyAlignment="1">
      <alignment horizontal="left" vertical="center"/>
    </xf>
    <xf numFmtId="0" fontId="37" fillId="0" borderId="94" xfId="0" applyFont="1" applyBorder="1" applyAlignment="1">
      <alignment horizontal="left" vertical="center"/>
    </xf>
    <xf numFmtId="0" fontId="7" fillId="0" borderId="0" xfId="0" applyFont="1" applyBorder="1" applyAlignment="1">
      <alignment horizontal="center" wrapText="1"/>
    </xf>
    <xf numFmtId="0" fontId="7" fillId="0" borderId="0" xfId="5" applyFont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11" applyFont="1" applyBorder="1" applyAlignment="1"/>
    <xf numFmtId="0" fontId="4" fillId="0" borderId="0" xfId="0" applyFont="1" applyBorder="1" applyAlignment="1"/>
    <xf numFmtId="0" fontId="22" fillId="0" borderId="53" xfId="9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2" fillId="0" borderId="0" xfId="7" applyFont="1" applyBorder="1" applyAlignment="1">
      <alignment horizontal="right"/>
    </xf>
    <xf numFmtId="0" fontId="4" fillId="0" borderId="39" xfId="7" applyFont="1" applyBorder="1" applyAlignment="1"/>
    <xf numFmtId="0" fontId="2" fillId="0" borderId="4" xfId="7" applyFont="1" applyBorder="1" applyAlignment="1">
      <alignment horizontal="right"/>
    </xf>
    <xf numFmtId="0" fontId="2" fillId="0" borderId="5" xfId="7" applyFont="1" applyBorder="1" applyAlignment="1">
      <alignment horizontal="right"/>
    </xf>
    <xf numFmtId="0" fontId="21" fillId="0" borderId="7" xfId="9" applyFont="1" applyBorder="1" applyAlignment="1"/>
    <xf numFmtId="0" fontId="15" fillId="0" borderId="7" xfId="0" applyFont="1" applyBorder="1" applyAlignment="1"/>
    <xf numFmtId="0" fontId="21" fillId="0" borderId="7" xfId="11" applyFont="1" applyBorder="1" applyAlignment="1"/>
    <xf numFmtId="0" fontId="22" fillId="0" borderId="26" xfId="16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1" fillId="0" borderId="0" xfId="7" applyFont="1" applyBorder="1" applyAlignment="1"/>
    <xf numFmtId="0" fontId="21" fillId="0" borderId="7" xfId="7" applyFont="1" applyBorder="1" applyAlignment="1"/>
    <xf numFmtId="0" fontId="0" fillId="0" borderId="0" xfId="0" applyAlignment="1">
      <alignment horizontal="center"/>
    </xf>
    <xf numFmtId="0" fontId="2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96" xfId="0" applyFont="1" applyBorder="1" applyAlignment="1">
      <alignment horizontal="center" vertical="center" wrapText="1"/>
    </xf>
    <xf numFmtId="0" fontId="8" fillId="0" borderId="97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98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0" borderId="5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left" wrapText="1"/>
    </xf>
    <xf numFmtId="0" fontId="4" fillId="0" borderId="49" xfId="0" applyFont="1" applyBorder="1" applyAlignment="1">
      <alignment horizontal="left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22" fillId="0" borderId="26" xfId="13" applyFont="1" applyBorder="1" applyAlignment="1">
      <alignment horizontal="center" vertical="center"/>
    </xf>
    <xf numFmtId="0" fontId="22" fillId="0" borderId="30" xfId="13" applyFont="1" applyBorder="1" applyAlignment="1">
      <alignment horizontal="center" vertical="center"/>
    </xf>
    <xf numFmtId="0" fontId="22" fillId="0" borderId="33" xfId="13" applyFont="1" applyBorder="1" applyAlignment="1">
      <alignment horizontal="center" vertical="center"/>
    </xf>
    <xf numFmtId="0" fontId="2" fillId="0" borderId="4" xfId="13" applyFont="1" applyBorder="1" applyAlignment="1">
      <alignment horizontal="right"/>
    </xf>
    <xf numFmtId="0" fontId="2" fillId="0" borderId="5" xfId="13" applyFont="1" applyBorder="1" applyAlignment="1">
      <alignment horizontal="right"/>
    </xf>
    <xf numFmtId="0" fontId="22" fillId="0" borderId="30" xfId="16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21" fillId="0" borderId="7" xfId="16" applyFont="1" applyBorder="1" applyAlignment="1"/>
    <xf numFmtId="0" fontId="37" fillId="0" borderId="7" xfId="0" applyFont="1" applyBorder="1" applyAlignment="1"/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/>
    <xf numFmtId="0" fontId="4" fillId="0" borderId="0" xfId="0" applyFont="1" applyAlignment="1"/>
    <xf numFmtId="0" fontId="30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101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 textRotation="90"/>
    </xf>
    <xf numFmtId="0" fontId="2" fillId="0" borderId="10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0" fontId="2" fillId="0" borderId="104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</cellXfs>
  <cellStyles count="20">
    <cellStyle name="Обычный" xfId="0" builtinId="0"/>
    <cellStyle name="Обычный 10" xfId="1"/>
    <cellStyle name="Обычный 10 2" xfId="2"/>
    <cellStyle name="Обычный 11" xfId="3"/>
    <cellStyle name="Обычный 11 2" xfId="4"/>
    <cellStyle name="Обычный 2" xfId="5"/>
    <cellStyle name="Обычный 3" xfId="6"/>
    <cellStyle name="Обычный 3 2" xfId="7"/>
    <cellStyle name="Обычный 4" xfId="8"/>
    <cellStyle name="Обычный 4 2" xfId="9"/>
    <cellStyle name="Обычный 5" xfId="10"/>
    <cellStyle name="Обычный 5 2" xfId="11"/>
    <cellStyle name="Обычный 6" xfId="12"/>
    <cellStyle name="Обычный 6 2" xfId="13"/>
    <cellStyle name="Обычный 7" xfId="14"/>
    <cellStyle name="Обычный 8" xfId="15"/>
    <cellStyle name="Обычный 8 2" xfId="16"/>
    <cellStyle name="Обычный 9" xfId="17"/>
    <cellStyle name="Обычный 9 2" xfId="18"/>
    <cellStyle name="Процентный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106680</xdr:rowOff>
    </xdr:from>
    <xdr:to>
      <xdr:col>1</xdr:col>
      <xdr:colOff>1232170</xdr:colOff>
      <xdr:row>4</xdr:row>
      <xdr:rowOff>335280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6220" y="10668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739140</xdr:colOff>
      <xdr:row>0</xdr:row>
      <xdr:rowOff>139468</xdr:rowOff>
    </xdr:from>
    <xdr:to>
      <xdr:col>13</xdr:col>
      <xdr:colOff>1173480</xdr:colOff>
      <xdr:row>5</xdr:row>
      <xdr:rowOff>19534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13620" y="13946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0</xdr:row>
      <xdr:rowOff>175260</xdr:rowOff>
    </xdr:from>
    <xdr:to>
      <xdr:col>1</xdr:col>
      <xdr:colOff>1201690</xdr:colOff>
      <xdr:row>5</xdr:row>
      <xdr:rowOff>45720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740" y="17526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708660</xdr:colOff>
      <xdr:row>0</xdr:row>
      <xdr:rowOff>208048</xdr:rowOff>
    </xdr:from>
    <xdr:to>
      <xdr:col>13</xdr:col>
      <xdr:colOff>1143000</xdr:colOff>
      <xdr:row>5</xdr:row>
      <xdr:rowOff>88114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83140" y="20804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0</xdr:rowOff>
    </xdr:from>
    <xdr:to>
      <xdr:col>1</xdr:col>
      <xdr:colOff>1232170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622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739140</xdr:colOff>
      <xdr:row>0</xdr:row>
      <xdr:rowOff>32788</xdr:rowOff>
    </xdr:from>
    <xdr:to>
      <xdr:col>13</xdr:col>
      <xdr:colOff>1173480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1362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4" name="Рисунок 3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0</xdr:row>
      <xdr:rowOff>32788</xdr:rowOff>
    </xdr:from>
    <xdr:to>
      <xdr:col>13</xdr:col>
      <xdr:colOff>937260</xdr:colOff>
      <xdr:row>4</xdr:row>
      <xdr:rowOff>270994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0" y="32788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744490</xdr:colOff>
      <xdr:row>4</xdr:row>
      <xdr:rowOff>152400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8</xdr:col>
      <xdr:colOff>769620</xdr:colOff>
      <xdr:row>0</xdr:row>
      <xdr:rowOff>0</xdr:rowOff>
    </xdr:from>
    <xdr:to>
      <xdr:col>8</xdr:col>
      <xdr:colOff>2044065</xdr:colOff>
      <xdr:row>4</xdr:row>
      <xdr:rowOff>162006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77940" y="0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2" name="Рисунок 1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91250" cy="1390650"/>
        </a:xfrm>
        <a:prstGeom prst="rect">
          <a:avLst/>
        </a:prstGeom>
      </xdr:spPr>
    </xdr:pic>
    <xdr:clientData/>
  </xdr:twoCellAnchor>
  <xdr:twoCellAnchor editAs="oneCell">
    <xdr:from>
      <xdr:col>17</xdr:col>
      <xdr:colOff>91440</xdr:colOff>
      <xdr:row>0</xdr:row>
      <xdr:rowOff>0</xdr:rowOff>
    </xdr:from>
    <xdr:to>
      <xdr:col>19</xdr:col>
      <xdr:colOff>1905</xdr:colOff>
      <xdr:row>4</xdr:row>
      <xdr:rowOff>238206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64215" y="0"/>
          <a:ext cx="1301115" cy="14002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2" name="Рисунок 1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91250" cy="1390650"/>
        </a:xfrm>
        <a:prstGeom prst="rect">
          <a:avLst/>
        </a:prstGeom>
      </xdr:spPr>
    </xdr:pic>
    <xdr:clientData/>
  </xdr:twoCellAnchor>
  <xdr:twoCellAnchor editAs="oneCell">
    <xdr:from>
      <xdr:col>17</xdr:col>
      <xdr:colOff>137160</xdr:colOff>
      <xdr:row>0</xdr:row>
      <xdr:rowOff>0</xdr:rowOff>
    </xdr:from>
    <xdr:to>
      <xdr:col>19</xdr:col>
      <xdr:colOff>38100</xdr:colOff>
      <xdr:row>4</xdr:row>
      <xdr:rowOff>238206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71835" y="0"/>
          <a:ext cx="1291590" cy="14002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2" name="Рисунок 1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91250" cy="1390650"/>
        </a:xfrm>
        <a:prstGeom prst="rect">
          <a:avLst/>
        </a:prstGeom>
      </xdr:spPr>
    </xdr:pic>
    <xdr:clientData/>
  </xdr:twoCellAnchor>
  <xdr:twoCellAnchor editAs="oneCell">
    <xdr:from>
      <xdr:col>17</xdr:col>
      <xdr:colOff>137160</xdr:colOff>
      <xdr:row>0</xdr:row>
      <xdr:rowOff>0</xdr:rowOff>
    </xdr:from>
    <xdr:to>
      <xdr:col>19</xdr:col>
      <xdr:colOff>38100</xdr:colOff>
      <xdr:row>4</xdr:row>
      <xdr:rowOff>238206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71835" y="0"/>
          <a:ext cx="1291590" cy="14002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2" name="Рисунок 1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91250" cy="1390650"/>
        </a:xfrm>
        <a:prstGeom prst="rect">
          <a:avLst/>
        </a:prstGeom>
      </xdr:spPr>
    </xdr:pic>
    <xdr:clientData/>
  </xdr:twoCellAnchor>
  <xdr:twoCellAnchor editAs="oneCell">
    <xdr:from>
      <xdr:col>17</xdr:col>
      <xdr:colOff>137160</xdr:colOff>
      <xdr:row>0</xdr:row>
      <xdr:rowOff>0</xdr:rowOff>
    </xdr:from>
    <xdr:to>
      <xdr:col>19</xdr:col>
      <xdr:colOff>38100</xdr:colOff>
      <xdr:row>4</xdr:row>
      <xdr:rowOff>238206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71835" y="0"/>
          <a:ext cx="1291590" cy="14002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2" name="Рисунок 1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91250" cy="1390650"/>
        </a:xfrm>
        <a:prstGeom prst="rect">
          <a:avLst/>
        </a:prstGeom>
      </xdr:spPr>
    </xdr:pic>
    <xdr:clientData/>
  </xdr:twoCellAnchor>
  <xdr:twoCellAnchor editAs="oneCell">
    <xdr:from>
      <xdr:col>17</xdr:col>
      <xdr:colOff>129540</xdr:colOff>
      <xdr:row>0</xdr:row>
      <xdr:rowOff>0</xdr:rowOff>
    </xdr:from>
    <xdr:to>
      <xdr:col>19</xdr:col>
      <xdr:colOff>30480</xdr:colOff>
      <xdr:row>4</xdr:row>
      <xdr:rowOff>238206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64215" y="0"/>
          <a:ext cx="1291590" cy="14002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2" name="Рисунок 1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91250" cy="1390650"/>
        </a:xfrm>
        <a:prstGeom prst="rect">
          <a:avLst/>
        </a:prstGeom>
      </xdr:spPr>
    </xdr:pic>
    <xdr:clientData/>
  </xdr:twoCellAnchor>
  <xdr:twoCellAnchor editAs="oneCell">
    <xdr:from>
      <xdr:col>17</xdr:col>
      <xdr:colOff>129540</xdr:colOff>
      <xdr:row>0</xdr:row>
      <xdr:rowOff>0</xdr:rowOff>
    </xdr:from>
    <xdr:to>
      <xdr:col>19</xdr:col>
      <xdr:colOff>30480</xdr:colOff>
      <xdr:row>4</xdr:row>
      <xdr:rowOff>238206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64215" y="0"/>
          <a:ext cx="1291590" cy="14002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995950</xdr:colOff>
      <xdr:row>4</xdr:row>
      <xdr:rowOff>228600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17</xdr:col>
      <xdr:colOff>129540</xdr:colOff>
      <xdr:row>0</xdr:row>
      <xdr:rowOff>0</xdr:rowOff>
    </xdr:from>
    <xdr:to>
      <xdr:col>19</xdr:col>
      <xdr:colOff>30480</xdr:colOff>
      <xdr:row>4</xdr:row>
      <xdr:rowOff>238206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087100" y="0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744490</xdr:colOff>
      <xdr:row>4</xdr:row>
      <xdr:rowOff>7620</xdr:rowOff>
    </xdr:to>
    <xdr:pic>
      <xdr:nvPicPr>
        <xdr:cNvPr id="3" name="Рисунок 2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06490" cy="1402080"/>
        </a:xfrm>
        <a:prstGeom prst="rect">
          <a:avLst/>
        </a:prstGeom>
      </xdr:spPr>
    </xdr:pic>
    <xdr:clientData/>
  </xdr:twoCellAnchor>
  <xdr:twoCellAnchor editAs="oneCell">
    <xdr:from>
      <xdr:col>8</xdr:col>
      <xdr:colOff>739140</xdr:colOff>
      <xdr:row>0</xdr:row>
      <xdr:rowOff>0</xdr:rowOff>
    </xdr:from>
    <xdr:to>
      <xdr:col>9</xdr:col>
      <xdr:colOff>0</xdr:colOff>
      <xdr:row>4</xdr:row>
      <xdr:rowOff>17226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10300" y="0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1019175</xdr:colOff>
      <xdr:row>5</xdr:row>
      <xdr:rowOff>201930</xdr:rowOff>
    </xdr:to>
    <xdr:pic>
      <xdr:nvPicPr>
        <xdr:cNvPr id="5" name="Рисунок 4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19225" cy="140208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39</xdr:col>
      <xdr:colOff>257175</xdr:colOff>
      <xdr:row>5</xdr:row>
      <xdr:rowOff>211536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029950" y="0"/>
          <a:ext cx="1333500" cy="14116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784256</xdr:colOff>
      <xdr:row>4</xdr:row>
      <xdr:rowOff>131618</xdr:rowOff>
    </xdr:to>
    <xdr:pic>
      <xdr:nvPicPr>
        <xdr:cNvPr id="2" name="Рисунок 1" descr="6JTKh_tJ1O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03356" cy="1112693"/>
        </a:xfrm>
        <a:prstGeom prst="rect">
          <a:avLst/>
        </a:prstGeom>
      </xdr:spPr>
    </xdr:pic>
    <xdr:clientData/>
  </xdr:twoCellAnchor>
  <xdr:twoCellAnchor editAs="oneCell">
    <xdr:from>
      <xdr:col>6</xdr:col>
      <xdr:colOff>11777</xdr:colOff>
      <xdr:row>0</xdr:row>
      <xdr:rowOff>0</xdr:rowOff>
    </xdr:from>
    <xdr:to>
      <xdr:col>7</xdr:col>
      <xdr:colOff>6685</xdr:colOff>
      <xdr:row>4</xdr:row>
      <xdr:rowOff>166254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31677" y="0"/>
          <a:ext cx="1080758" cy="11473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opLeftCell="A11" zoomScaleSheetLayoutView="100" workbookViewId="0">
      <selection activeCell="I18" sqref="I18:N25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285156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32.570312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</row>
    <row r="6" spans="1:14" ht="28.15" customHeight="1" x14ac:dyDescent="0.2">
      <c r="A6" s="186"/>
      <c r="B6" s="744"/>
      <c r="C6" s="744"/>
      <c r="D6" s="744"/>
      <c r="E6" s="744"/>
      <c r="F6" s="744"/>
      <c r="G6" s="744"/>
      <c r="H6" s="744"/>
      <c r="I6" s="744"/>
      <c r="J6" s="744"/>
      <c r="K6" s="744"/>
      <c r="L6" s="744"/>
      <c r="M6" s="744"/>
      <c r="N6" s="744"/>
    </row>
    <row r="7" spans="1:14" ht="13.5" x14ac:dyDescent="0.25">
      <c r="A7" s="970" t="s">
        <v>681</v>
      </c>
      <c r="B7" s="970"/>
      <c r="C7" s="743"/>
      <c r="D7" s="1"/>
      <c r="E7" s="1"/>
      <c r="F7" s="1"/>
      <c r="G7" s="1"/>
      <c r="H7" s="1"/>
      <c r="I7" s="1"/>
      <c r="J7" s="1"/>
      <c r="K7" s="1"/>
      <c r="L7" s="971" t="s">
        <v>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985">
        <v>72</v>
      </c>
      <c r="B10" s="985"/>
      <c r="C10" s="434"/>
      <c r="D10" s="980" t="s">
        <v>533</v>
      </c>
      <c r="E10" s="981"/>
      <c r="F10" s="981"/>
      <c r="G10" s="981"/>
      <c r="H10" s="981"/>
      <c r="I10" s="981"/>
      <c r="J10" s="981"/>
      <c r="K10" s="981"/>
      <c r="L10" s="3" t="s">
        <v>8</v>
      </c>
      <c r="M10" s="3" t="s">
        <v>9</v>
      </c>
      <c r="N10" s="3" t="s">
        <v>10</v>
      </c>
    </row>
    <row r="11" spans="1:14" ht="15.75" x14ac:dyDescent="0.25">
      <c r="A11" s="985"/>
      <c r="B11" s="985"/>
      <c r="C11" s="434"/>
      <c r="D11" s="980" t="s">
        <v>11</v>
      </c>
      <c r="E11" s="981"/>
      <c r="F11" s="981"/>
      <c r="G11" s="981"/>
      <c r="H11" s="981"/>
      <c r="I11" s="981"/>
      <c r="J11" s="981"/>
      <c r="K11" s="981"/>
      <c r="L11" s="4">
        <v>33</v>
      </c>
      <c r="M11" s="4">
        <v>40</v>
      </c>
      <c r="N11" s="4">
        <v>57</v>
      </c>
    </row>
    <row r="12" spans="1:14" ht="16.5" thickBot="1" x14ac:dyDescent="0.3">
      <c r="A12" s="5"/>
      <c r="B12" s="384"/>
      <c r="C12" s="434"/>
      <c r="D12" s="980" t="s">
        <v>12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11"/>
      <c r="G13" s="11"/>
      <c r="H13" s="11"/>
      <c r="I13" s="11"/>
      <c r="J13" s="11"/>
      <c r="K13" s="11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11"/>
      <c r="G14" s="11"/>
      <c r="H14" s="11"/>
      <c r="I14" s="11"/>
      <c r="J14" s="11"/>
      <c r="K14" s="11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ht="15" x14ac:dyDescent="0.25">
      <c r="A18" s="822" t="s">
        <v>686</v>
      </c>
      <c r="B18" s="387" t="s">
        <v>26</v>
      </c>
      <c r="C18" s="225"/>
      <c r="D18" s="226"/>
      <c r="E18" s="227">
        <v>1993</v>
      </c>
      <c r="F18" s="228" t="s">
        <v>10</v>
      </c>
      <c r="G18" s="245" t="s">
        <v>27</v>
      </c>
      <c r="H18" s="235"/>
      <c r="I18" s="230">
        <v>63</v>
      </c>
      <c r="J18" s="231">
        <v>73</v>
      </c>
      <c r="K18" s="231">
        <v>20</v>
      </c>
      <c r="L18" s="469" t="s">
        <v>10</v>
      </c>
      <c r="M18" s="241" t="s">
        <v>599</v>
      </c>
      <c r="N18" s="233"/>
    </row>
    <row r="19" spans="1:14" ht="15" x14ac:dyDescent="0.25">
      <c r="A19" s="822" t="s">
        <v>687</v>
      </c>
      <c r="B19" s="387" t="s">
        <v>508</v>
      </c>
      <c r="C19" s="225"/>
      <c r="D19" s="226"/>
      <c r="E19" s="227">
        <v>1995</v>
      </c>
      <c r="F19" s="228" t="s">
        <v>10</v>
      </c>
      <c r="G19" s="231" t="s">
        <v>489</v>
      </c>
      <c r="H19" s="231"/>
      <c r="I19" s="230">
        <v>63</v>
      </c>
      <c r="J19" s="231">
        <v>71</v>
      </c>
      <c r="K19" s="231">
        <v>18</v>
      </c>
      <c r="L19" s="469" t="s">
        <v>10</v>
      </c>
      <c r="M19" s="224" t="s">
        <v>29</v>
      </c>
      <c r="N19" s="233"/>
    </row>
    <row r="20" spans="1:14" ht="15" x14ac:dyDescent="0.25">
      <c r="A20" s="822" t="s">
        <v>688</v>
      </c>
      <c r="B20" s="534" t="s">
        <v>605</v>
      </c>
      <c r="C20" s="718"/>
      <c r="D20" s="813"/>
      <c r="E20" s="535">
        <v>1995</v>
      </c>
      <c r="F20" s="509" t="s">
        <v>10</v>
      </c>
      <c r="G20" s="244" t="s">
        <v>125</v>
      </c>
      <c r="H20" s="28"/>
      <c r="I20" s="472">
        <v>62.75</v>
      </c>
      <c r="J20" s="473">
        <v>67</v>
      </c>
      <c r="K20" s="473">
        <v>16</v>
      </c>
      <c r="L20" s="469" t="s">
        <v>10</v>
      </c>
      <c r="M20" s="464" t="s">
        <v>126</v>
      </c>
      <c r="N20" s="564"/>
    </row>
    <row r="21" spans="1:14" ht="15" x14ac:dyDescent="0.25">
      <c r="A21" s="822" t="s">
        <v>689</v>
      </c>
      <c r="B21" s="487" t="s">
        <v>602</v>
      </c>
      <c r="C21" s="499"/>
      <c r="D21" s="500"/>
      <c r="E21" s="807">
        <v>1992</v>
      </c>
      <c r="F21" s="496" t="s">
        <v>10</v>
      </c>
      <c r="G21" s="633" t="s">
        <v>603</v>
      </c>
      <c r="H21" s="26"/>
      <c r="I21" s="547">
        <v>63</v>
      </c>
      <c r="J21" s="633">
        <v>63</v>
      </c>
      <c r="K21" s="471">
        <v>15</v>
      </c>
      <c r="L21" s="469" t="s">
        <v>10</v>
      </c>
      <c r="M21" s="388" t="s">
        <v>604</v>
      </c>
      <c r="N21" s="803"/>
    </row>
    <row r="22" spans="1:14" s="24" customFormat="1" ht="15" customHeight="1" x14ac:dyDescent="0.25">
      <c r="A22" s="817" t="s">
        <v>690</v>
      </c>
      <c r="B22" s="909" t="s">
        <v>127</v>
      </c>
      <c r="C22" s="225"/>
      <c r="D22" s="226"/>
      <c r="E22" s="227">
        <v>1990</v>
      </c>
      <c r="F22" s="228" t="s">
        <v>9</v>
      </c>
      <c r="G22" s="228" t="s">
        <v>32</v>
      </c>
      <c r="H22" s="782"/>
      <c r="I22" s="230">
        <v>62.45</v>
      </c>
      <c r="J22" s="231">
        <v>50</v>
      </c>
      <c r="K22" s="231">
        <v>14</v>
      </c>
      <c r="L22" s="467" t="s">
        <v>9</v>
      </c>
      <c r="M22" s="248" t="s">
        <v>596</v>
      </c>
      <c r="N22" s="233"/>
    </row>
    <row r="23" spans="1:14" s="24" customFormat="1" ht="15" customHeight="1" x14ac:dyDescent="0.25">
      <c r="A23" s="817" t="s">
        <v>691</v>
      </c>
      <c r="B23" s="801" t="s">
        <v>600</v>
      </c>
      <c r="C23" s="804"/>
      <c r="D23" s="805"/>
      <c r="E23" s="535">
        <v>1986</v>
      </c>
      <c r="F23" s="473" t="s">
        <v>9</v>
      </c>
      <c r="G23" s="473" t="s">
        <v>130</v>
      </c>
      <c r="H23" s="28"/>
      <c r="I23" s="472">
        <v>63</v>
      </c>
      <c r="J23" s="473">
        <v>50</v>
      </c>
      <c r="K23" s="473">
        <v>13</v>
      </c>
      <c r="L23" s="469" t="s">
        <v>9</v>
      </c>
      <c r="M23" s="783" t="s">
        <v>601</v>
      </c>
      <c r="N23" s="806"/>
    </row>
    <row r="24" spans="1:14" s="24" customFormat="1" ht="18.75" customHeight="1" x14ac:dyDescent="0.25">
      <c r="A24" s="817" t="s">
        <v>692</v>
      </c>
      <c r="B24" s="489" t="s">
        <v>597</v>
      </c>
      <c r="C24" s="478"/>
      <c r="D24" s="479"/>
      <c r="E24" s="480">
        <v>1994</v>
      </c>
      <c r="F24" s="505" t="s">
        <v>9</v>
      </c>
      <c r="G24" s="469" t="s">
        <v>35</v>
      </c>
      <c r="H24" s="53"/>
      <c r="I24" s="468">
        <v>62.75</v>
      </c>
      <c r="J24" s="469">
        <v>46</v>
      </c>
      <c r="K24" s="469">
        <v>12</v>
      </c>
      <c r="L24" s="469" t="s">
        <v>9</v>
      </c>
      <c r="M24" s="462" t="s">
        <v>598</v>
      </c>
      <c r="N24" s="802"/>
    </row>
    <row r="25" spans="1:14" s="24" customFormat="1" ht="18.75" customHeight="1" x14ac:dyDescent="0.25">
      <c r="A25" s="817" t="s">
        <v>693</v>
      </c>
      <c r="B25" s="390" t="s">
        <v>593</v>
      </c>
      <c r="C25" s="308"/>
      <c r="D25" s="309"/>
      <c r="E25" s="507">
        <v>1996</v>
      </c>
      <c r="F25" s="467" t="s">
        <v>9</v>
      </c>
      <c r="G25" s="466" t="s">
        <v>594</v>
      </c>
      <c r="H25" s="220"/>
      <c r="I25" s="465">
        <v>62.95</v>
      </c>
      <c r="J25" s="466">
        <v>38</v>
      </c>
      <c r="K25" s="466">
        <v>11</v>
      </c>
      <c r="L25" s="467" t="s">
        <v>8</v>
      </c>
      <c r="M25" s="387" t="s">
        <v>595</v>
      </c>
      <c r="N25" s="812"/>
    </row>
    <row r="26" spans="1:14" s="24" customFormat="1" ht="18.75" customHeight="1" x14ac:dyDescent="0.25">
      <c r="A26" s="785"/>
      <c r="B26" s="786"/>
      <c r="C26" s="787"/>
      <c r="D26" s="787"/>
      <c r="E26" s="328"/>
      <c r="F26" s="788"/>
      <c r="G26" s="789"/>
      <c r="H26" s="323"/>
      <c r="I26" s="790"/>
      <c r="J26" s="789"/>
      <c r="K26" s="789"/>
      <c r="L26" s="788"/>
      <c r="M26" s="183"/>
      <c r="N26" s="419"/>
    </row>
    <row r="27" spans="1:14" s="24" customFormat="1" ht="18.75" customHeight="1" x14ac:dyDescent="0.25">
      <c r="A27" s="785"/>
      <c r="B27" s="791" t="s">
        <v>694</v>
      </c>
      <c r="C27" s="792"/>
      <c r="D27" s="792"/>
      <c r="E27" s="793"/>
      <c r="F27" s="794"/>
      <c r="G27" s="795"/>
      <c r="H27" s="323"/>
      <c r="I27" s="790"/>
      <c r="J27" s="789"/>
      <c r="K27" s="789"/>
      <c r="L27" s="788"/>
      <c r="M27" s="183"/>
      <c r="N27" s="419"/>
    </row>
    <row r="28" spans="1:14" x14ac:dyDescent="0.2">
      <c r="A28" s="17"/>
      <c r="B28" s="2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13.5" x14ac:dyDescent="0.25">
      <c r="A29" s="214" t="s">
        <v>534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761"/>
      <c r="L29" s="475" t="s">
        <v>536</v>
      </c>
      <c r="N29" s="205"/>
    </row>
    <row r="30" spans="1:14" ht="13.5" x14ac:dyDescent="0.25">
      <c r="A30" s="214"/>
      <c r="B30" s="383"/>
      <c r="C30" s="761"/>
      <c r="D30" s="17"/>
      <c r="E30" s="17"/>
      <c r="F30" s="17"/>
      <c r="G30" s="17"/>
      <c r="H30" s="214"/>
      <c r="J30" s="17"/>
      <c r="K30" s="761"/>
      <c r="L30" s="476"/>
      <c r="M30" s="17"/>
      <c r="N30" s="17"/>
    </row>
    <row r="31" spans="1:14" ht="13.5" x14ac:dyDescent="0.25">
      <c r="A31" s="214" t="s">
        <v>535</v>
      </c>
      <c r="B31" s="210"/>
      <c r="C31" s="210"/>
      <c r="D31" s="210"/>
      <c r="E31" s="210"/>
      <c r="F31" s="210"/>
      <c r="G31" s="210"/>
      <c r="H31" s="214" t="s">
        <v>41</v>
      </c>
      <c r="J31" s="210"/>
      <c r="L31" s="477" t="s">
        <v>537</v>
      </c>
      <c r="M31" s="205"/>
      <c r="N31" s="205"/>
    </row>
  </sheetData>
  <sortState ref="B18:N25">
    <sortCondition descending="1" ref="J18:J25"/>
  </sortState>
  <mergeCells count="27">
    <mergeCell ref="D8:K8"/>
    <mergeCell ref="L8:N8"/>
    <mergeCell ref="A8:B8"/>
    <mergeCell ref="A10:B11"/>
    <mergeCell ref="D10:K10"/>
    <mergeCell ref="D11:K11"/>
    <mergeCell ref="E16:E17"/>
    <mergeCell ref="K16:K17"/>
    <mergeCell ref="A9:B9"/>
    <mergeCell ref="C9:K9"/>
    <mergeCell ref="L9:N9"/>
    <mergeCell ref="G16:G17"/>
    <mergeCell ref="H16:H17"/>
    <mergeCell ref="F16:F17"/>
    <mergeCell ref="J16:J17"/>
    <mergeCell ref="L16:L17"/>
    <mergeCell ref="M16:N17"/>
    <mergeCell ref="D12:K12"/>
    <mergeCell ref="A16:A17"/>
    <mergeCell ref="B16:D17"/>
    <mergeCell ref="I16:I17"/>
    <mergeCell ref="B1:N1"/>
    <mergeCell ref="B2:N2"/>
    <mergeCell ref="B3:N3"/>
    <mergeCell ref="B4:N4"/>
    <mergeCell ref="A7:B7"/>
    <mergeCell ref="L7:N7"/>
  </mergeCells>
  <phoneticPr fontId="33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opLeftCell="A11" zoomScaleSheetLayoutView="100" workbookViewId="0">
      <selection activeCell="B28" sqref="B28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1406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34.4257812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44"/>
      <c r="C5" s="744"/>
      <c r="D5" s="744"/>
      <c r="E5" s="744"/>
      <c r="F5" s="744"/>
      <c r="G5" s="744"/>
      <c r="H5" s="744"/>
      <c r="I5" s="744"/>
      <c r="J5" s="744"/>
      <c r="K5" s="744"/>
      <c r="L5" s="744"/>
      <c r="M5" s="744"/>
      <c r="N5" s="744"/>
    </row>
    <row r="6" spans="1:14" ht="28.15" customHeight="1" x14ac:dyDescent="0.2">
      <c r="A6" s="186"/>
      <c r="B6" s="744"/>
      <c r="C6" s="744"/>
      <c r="D6" s="744"/>
      <c r="E6" s="744"/>
      <c r="F6" s="744"/>
      <c r="G6" s="744"/>
      <c r="H6" s="744"/>
      <c r="I6" s="744"/>
      <c r="J6" s="744"/>
      <c r="K6" s="744"/>
      <c r="L6" s="744"/>
      <c r="M6" s="744"/>
      <c r="N6" s="744"/>
    </row>
    <row r="7" spans="1:14" ht="13.5" x14ac:dyDescent="0.25">
      <c r="A7" s="970" t="s">
        <v>681</v>
      </c>
      <c r="B7" s="970"/>
      <c r="C7" s="747"/>
      <c r="D7" s="1"/>
      <c r="E7" s="1"/>
      <c r="F7" s="1"/>
      <c r="G7" s="1"/>
      <c r="H7" s="1"/>
      <c r="I7" s="1"/>
      <c r="J7" s="1"/>
      <c r="K7" s="1"/>
      <c r="L7" s="971" t="s">
        <v>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985">
        <v>80</v>
      </c>
      <c r="B10" s="985"/>
      <c r="C10" s="746"/>
      <c r="D10" s="980" t="s">
        <v>533</v>
      </c>
      <c r="E10" s="981"/>
      <c r="F10" s="981"/>
      <c r="G10" s="981"/>
      <c r="H10" s="981"/>
      <c r="I10" s="981"/>
      <c r="J10" s="981"/>
      <c r="K10" s="981"/>
      <c r="L10" s="745" t="s">
        <v>8</v>
      </c>
      <c r="M10" s="745" t="s">
        <v>9</v>
      </c>
      <c r="N10" s="745" t="s">
        <v>10</v>
      </c>
    </row>
    <row r="11" spans="1:14" ht="15.75" x14ac:dyDescent="0.25">
      <c r="A11" s="985"/>
      <c r="B11" s="985"/>
      <c r="C11" s="746"/>
      <c r="D11" s="980" t="s">
        <v>11</v>
      </c>
      <c r="E11" s="981"/>
      <c r="F11" s="981"/>
      <c r="G11" s="981"/>
      <c r="H11" s="981"/>
      <c r="I11" s="981"/>
      <c r="J11" s="981"/>
      <c r="K11" s="981"/>
      <c r="L11" s="4">
        <v>38</v>
      </c>
      <c r="M11" s="4">
        <v>45</v>
      </c>
      <c r="N11" s="4">
        <v>63</v>
      </c>
    </row>
    <row r="12" spans="1:14" ht="16.5" thickBot="1" x14ac:dyDescent="0.3">
      <c r="A12" s="5"/>
      <c r="B12" s="384"/>
      <c r="C12" s="746"/>
      <c r="D12" s="980" t="s">
        <v>116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44"/>
      <c r="G13" s="744"/>
      <c r="H13" s="744"/>
      <c r="I13" s="744"/>
      <c r="J13" s="744"/>
      <c r="K13" s="744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44"/>
      <c r="G14" s="744"/>
      <c r="H14" s="744"/>
      <c r="I14" s="744"/>
      <c r="J14" s="744"/>
      <c r="K14" s="744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817" t="s">
        <v>686</v>
      </c>
      <c r="B18" s="390" t="s">
        <v>429</v>
      </c>
      <c r="C18" s="308"/>
      <c r="D18" s="309"/>
      <c r="E18" s="227">
        <v>1997</v>
      </c>
      <c r="F18" s="228" t="s">
        <v>10</v>
      </c>
      <c r="G18" s="231" t="s">
        <v>576</v>
      </c>
      <c r="H18" s="231"/>
      <c r="I18" s="230">
        <v>67.400000000000006</v>
      </c>
      <c r="J18" s="231">
        <v>74</v>
      </c>
      <c r="K18" s="231">
        <v>20</v>
      </c>
      <c r="L18" s="228" t="s">
        <v>10</v>
      </c>
      <c r="M18" s="224" t="s">
        <v>619</v>
      </c>
      <c r="N18" s="233"/>
    </row>
    <row r="19" spans="1:14" s="24" customFormat="1" ht="15" customHeight="1" x14ac:dyDescent="0.25">
      <c r="A19" s="817" t="s">
        <v>687</v>
      </c>
      <c r="B19" s="916" t="s">
        <v>65</v>
      </c>
      <c r="C19" s="493"/>
      <c r="D19" s="917"/>
      <c r="E19" s="807">
        <v>1992</v>
      </c>
      <c r="F19" s="496" t="s">
        <v>10</v>
      </c>
      <c r="G19" s="633" t="s">
        <v>27</v>
      </c>
      <c r="H19" s="496"/>
      <c r="I19" s="547">
        <v>67.7</v>
      </c>
      <c r="J19" s="633">
        <v>74</v>
      </c>
      <c r="K19" s="471">
        <v>18</v>
      </c>
      <c r="L19" s="228" t="s">
        <v>10</v>
      </c>
      <c r="M19" s="388" t="s">
        <v>133</v>
      </c>
      <c r="N19" s="803"/>
    </row>
    <row r="20" spans="1:14" s="24" customFormat="1" ht="15" customHeight="1" x14ac:dyDescent="0.25">
      <c r="A20" s="817" t="s">
        <v>688</v>
      </c>
      <c r="B20" s="489" t="s">
        <v>612</v>
      </c>
      <c r="C20" s="478"/>
      <c r="D20" s="479"/>
      <c r="E20" s="480">
        <v>1997</v>
      </c>
      <c r="F20" s="505" t="s">
        <v>10</v>
      </c>
      <c r="G20" s="228" t="s">
        <v>27</v>
      </c>
      <c r="H20" s="469"/>
      <c r="I20" s="468">
        <v>67.849999999999994</v>
      </c>
      <c r="J20" s="469">
        <v>72</v>
      </c>
      <c r="K20" s="469">
        <v>16</v>
      </c>
      <c r="L20" s="228" t="s">
        <v>10</v>
      </c>
      <c r="M20" s="918" t="s">
        <v>613</v>
      </c>
      <c r="N20" s="564"/>
    </row>
    <row r="21" spans="1:14" s="24" customFormat="1" ht="15" customHeight="1" x14ac:dyDescent="0.25">
      <c r="A21" s="817" t="s">
        <v>689</v>
      </c>
      <c r="B21" s="534" t="s">
        <v>70</v>
      </c>
      <c r="C21" s="718"/>
      <c r="D21" s="813"/>
      <c r="E21" s="535">
        <v>1992</v>
      </c>
      <c r="F21" s="509" t="s">
        <v>10</v>
      </c>
      <c r="G21" s="473" t="s">
        <v>35</v>
      </c>
      <c r="H21" s="473"/>
      <c r="I21" s="472">
        <v>68</v>
      </c>
      <c r="J21" s="473">
        <v>68</v>
      </c>
      <c r="K21" s="473">
        <v>15</v>
      </c>
      <c r="L21" s="228" t="s">
        <v>10</v>
      </c>
      <c r="M21" s="464" t="s">
        <v>390</v>
      </c>
      <c r="N21" s="564"/>
    </row>
    <row r="22" spans="1:14" s="24" customFormat="1" ht="15" customHeight="1" x14ac:dyDescent="0.25">
      <c r="A22" s="817" t="s">
        <v>690</v>
      </c>
      <c r="B22" s="388" t="s">
        <v>614</v>
      </c>
      <c r="C22" s="242"/>
      <c r="D22" s="243"/>
      <c r="E22" s="263">
        <v>1996</v>
      </c>
      <c r="F22" s="244" t="s">
        <v>9</v>
      </c>
      <c r="G22" s="245" t="s">
        <v>615</v>
      </c>
      <c r="H22" s="245"/>
      <c r="I22" s="91">
        <v>67.849999999999994</v>
      </c>
      <c r="J22" s="245">
        <v>63</v>
      </c>
      <c r="K22" s="245">
        <v>14</v>
      </c>
      <c r="L22" s="228" t="s">
        <v>10</v>
      </c>
      <c r="M22" s="241" t="s">
        <v>38</v>
      </c>
      <c r="N22" s="246"/>
    </row>
    <row r="23" spans="1:14" s="24" customFormat="1" ht="15" customHeight="1" x14ac:dyDescent="0.25">
      <c r="A23" s="817" t="s">
        <v>691</v>
      </c>
      <c r="B23" s="801" t="s">
        <v>610</v>
      </c>
      <c r="C23" s="804"/>
      <c r="D23" s="805"/>
      <c r="E23" s="497">
        <v>1995</v>
      </c>
      <c r="F23" s="473" t="s">
        <v>9</v>
      </c>
      <c r="G23" s="539" t="s">
        <v>565</v>
      </c>
      <c r="H23" s="473"/>
      <c r="I23" s="538">
        <v>67.95</v>
      </c>
      <c r="J23" s="539">
        <v>62</v>
      </c>
      <c r="K23" s="473">
        <v>13</v>
      </c>
      <c r="L23" s="473" t="s">
        <v>9</v>
      </c>
      <c r="M23" s="494" t="s">
        <v>611</v>
      </c>
      <c r="N23" s="919"/>
    </row>
    <row r="24" spans="1:14" s="24" customFormat="1" ht="15" customHeight="1" x14ac:dyDescent="0.25">
      <c r="A24" s="817" t="s">
        <v>692</v>
      </c>
      <c r="B24" s="387" t="s">
        <v>92</v>
      </c>
      <c r="C24" s="225"/>
      <c r="D24" s="226"/>
      <c r="E24" s="227">
        <v>1991</v>
      </c>
      <c r="F24" s="228" t="s">
        <v>9</v>
      </c>
      <c r="G24" s="244" t="s">
        <v>35</v>
      </c>
      <c r="H24" s="161"/>
      <c r="I24" s="230">
        <v>68</v>
      </c>
      <c r="J24" s="231">
        <v>55</v>
      </c>
      <c r="K24" s="245">
        <v>12</v>
      </c>
      <c r="L24" s="473" t="s">
        <v>9</v>
      </c>
      <c r="M24" s="232" t="s">
        <v>357</v>
      </c>
      <c r="N24" s="233"/>
    </row>
    <row r="25" spans="1:14" s="24" customFormat="1" ht="18.75" customHeight="1" x14ac:dyDescent="0.25">
      <c r="A25" s="817" t="s">
        <v>693</v>
      </c>
      <c r="B25" s="908" t="s">
        <v>713</v>
      </c>
      <c r="C25" s="493"/>
      <c r="D25" s="811"/>
      <c r="E25" s="161">
        <v>2001</v>
      </c>
      <c r="F25" s="161" t="s">
        <v>9</v>
      </c>
      <c r="G25" s="228" t="s">
        <v>489</v>
      </c>
      <c r="H25" s="362"/>
      <c r="I25" s="465">
        <v>67.7</v>
      </c>
      <c r="J25" s="231">
        <v>52</v>
      </c>
      <c r="K25" s="473">
        <v>11</v>
      </c>
      <c r="L25" s="473" t="s">
        <v>9</v>
      </c>
      <c r="M25" s="387" t="s">
        <v>367</v>
      </c>
      <c r="N25" s="812"/>
    </row>
    <row r="26" spans="1:14" s="24" customFormat="1" ht="17.25" customHeight="1" x14ac:dyDescent="0.25">
      <c r="A26" s="817" t="s">
        <v>709</v>
      </c>
      <c r="B26" s="387" t="s">
        <v>607</v>
      </c>
      <c r="C26" s="225"/>
      <c r="D26" s="226"/>
      <c r="E26" s="227">
        <v>1986</v>
      </c>
      <c r="F26" s="228" t="s">
        <v>9</v>
      </c>
      <c r="G26" s="231" t="s">
        <v>608</v>
      </c>
      <c r="H26" s="231"/>
      <c r="I26" s="230">
        <v>67.55</v>
      </c>
      <c r="J26" s="231">
        <v>51</v>
      </c>
      <c r="K26" s="245">
        <v>10</v>
      </c>
      <c r="L26" s="473" t="s">
        <v>9</v>
      </c>
      <c r="M26" s="224" t="s">
        <v>609</v>
      </c>
      <c r="N26" s="233"/>
    </row>
    <row r="27" spans="1:14" s="24" customFormat="1" ht="15" x14ac:dyDescent="0.25">
      <c r="A27" s="817" t="s">
        <v>710</v>
      </c>
      <c r="B27" s="388" t="s">
        <v>616</v>
      </c>
      <c r="C27" s="242"/>
      <c r="D27" s="243"/>
      <c r="E27" s="397">
        <v>1984</v>
      </c>
      <c r="F27" s="244" t="s">
        <v>9</v>
      </c>
      <c r="G27" s="399" t="s">
        <v>166</v>
      </c>
      <c r="H27" s="245"/>
      <c r="I27" s="398">
        <v>67.45</v>
      </c>
      <c r="J27" s="231">
        <v>49</v>
      </c>
      <c r="K27" s="473">
        <v>9</v>
      </c>
      <c r="L27" s="473" t="s">
        <v>9</v>
      </c>
      <c r="M27" s="241" t="s">
        <v>617</v>
      </c>
      <c r="N27" s="246"/>
    </row>
    <row r="28" spans="1:14" s="24" customFormat="1" ht="15" x14ac:dyDescent="0.25">
      <c r="A28" s="817" t="s">
        <v>711</v>
      </c>
      <c r="B28" s="392" t="s">
        <v>135</v>
      </c>
      <c r="C28" s="302"/>
      <c r="D28" s="303"/>
      <c r="E28" s="809">
        <v>1991</v>
      </c>
      <c r="F28" s="578" t="s">
        <v>10</v>
      </c>
      <c r="G28" s="633" t="s">
        <v>594</v>
      </c>
      <c r="H28" s="471"/>
      <c r="I28" s="547">
        <v>68</v>
      </c>
      <c r="J28" s="466">
        <v>45</v>
      </c>
      <c r="K28" s="245">
        <v>8</v>
      </c>
      <c r="L28" s="473" t="s">
        <v>9</v>
      </c>
      <c r="M28" s="388" t="s">
        <v>606</v>
      </c>
      <c r="N28" s="803"/>
    </row>
    <row r="29" spans="1:14" s="24" customFormat="1" ht="15" x14ac:dyDescent="0.25">
      <c r="A29" s="817" t="s">
        <v>712</v>
      </c>
      <c r="B29" s="388" t="s">
        <v>618</v>
      </c>
      <c r="C29" s="242"/>
      <c r="D29" s="243"/>
      <c r="E29" s="263">
        <v>1994</v>
      </c>
      <c r="F29" s="244" t="s">
        <v>9</v>
      </c>
      <c r="G29" s="399" t="s">
        <v>33</v>
      </c>
      <c r="H29" s="245"/>
      <c r="I29" s="91">
        <v>67.099999999999994</v>
      </c>
      <c r="J29" s="231">
        <v>31</v>
      </c>
      <c r="K29" s="473">
        <v>7</v>
      </c>
      <c r="L29" s="473"/>
      <c r="M29" s="241" t="s">
        <v>34</v>
      </c>
      <c r="N29" s="246"/>
    </row>
    <row r="30" spans="1:14" x14ac:dyDescent="0.2">
      <c r="A30" s="17"/>
      <c r="B30" s="21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3.5" x14ac:dyDescent="0.25">
      <c r="A31" s="214" t="s">
        <v>534</v>
      </c>
      <c r="B31" s="210"/>
      <c r="C31" s="210"/>
      <c r="D31" s="210"/>
      <c r="E31" s="210"/>
      <c r="F31" s="210"/>
      <c r="G31" s="210"/>
      <c r="H31" s="214" t="s">
        <v>40</v>
      </c>
      <c r="J31" s="17"/>
      <c r="K31" s="761"/>
      <c r="L31" s="475" t="s">
        <v>536</v>
      </c>
      <c r="N31" s="748"/>
    </row>
    <row r="32" spans="1:14" ht="13.5" x14ac:dyDescent="0.25">
      <c r="A32" s="214"/>
      <c r="B32" s="383"/>
      <c r="C32" s="761"/>
      <c r="D32" s="17"/>
      <c r="E32" s="17"/>
      <c r="F32" s="17"/>
      <c r="G32" s="17"/>
      <c r="H32" s="214"/>
      <c r="J32" s="17"/>
      <c r="K32" s="761"/>
      <c r="L32" s="476"/>
      <c r="M32" s="17"/>
      <c r="N32" s="17"/>
    </row>
    <row r="33" spans="1:14" ht="13.5" x14ac:dyDescent="0.25">
      <c r="A33" s="214" t="s">
        <v>535</v>
      </c>
      <c r="B33" s="210"/>
      <c r="C33" s="210"/>
      <c r="D33" s="210"/>
      <c r="E33" s="210"/>
      <c r="F33" s="210"/>
      <c r="G33" s="210"/>
      <c r="H33" s="214" t="s">
        <v>41</v>
      </c>
      <c r="J33" s="210"/>
      <c r="L33" s="477" t="s">
        <v>537</v>
      </c>
      <c r="M33" s="748"/>
      <c r="N33" s="748"/>
    </row>
  </sheetData>
  <autoFilter ref="A16:N29">
    <filterColumn colId="1" showButton="0"/>
    <filterColumn colId="2" showButton="0"/>
    <filterColumn colId="12" showButton="0"/>
  </autoFilter>
  <sortState ref="B18:N29">
    <sortCondition descending="1" ref="J18:J29"/>
  </sortState>
  <mergeCells count="27">
    <mergeCell ref="B1:N1"/>
    <mergeCell ref="B2:N2"/>
    <mergeCell ref="B3:N3"/>
    <mergeCell ref="B4:N4"/>
    <mergeCell ref="A7:B7"/>
    <mergeCell ref="L7:N7"/>
    <mergeCell ref="A8:B8"/>
    <mergeCell ref="D8:K8"/>
    <mergeCell ref="L8:N8"/>
    <mergeCell ref="A9:B9"/>
    <mergeCell ref="C9:K9"/>
    <mergeCell ref="L9:N9"/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zoomScaleSheetLayoutView="100" workbookViewId="0">
      <selection activeCell="L9" sqref="L9:N9"/>
    </sheetView>
  </sheetViews>
  <sheetFormatPr defaultRowHeight="12.75" x14ac:dyDescent="0.2"/>
  <cols>
    <col min="2" max="2" width="9.140625" style="167" customWidth="1"/>
    <col min="4" max="4" width="6.5703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7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2</v>
      </c>
      <c r="M5" s="971"/>
      <c r="N5" s="971"/>
    </row>
    <row r="6" spans="1:14" ht="15.75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5.75" x14ac:dyDescent="0.25">
      <c r="A8" s="986">
        <v>80</v>
      </c>
      <c r="B8" s="986"/>
      <c r="C8" s="434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5.75" x14ac:dyDescent="0.25">
      <c r="A9" s="986"/>
      <c r="B9" s="986"/>
      <c r="C9" s="434"/>
      <c r="D9" s="980" t="s">
        <v>11</v>
      </c>
      <c r="E9" s="981"/>
      <c r="F9" s="981"/>
      <c r="G9" s="981"/>
      <c r="H9" s="981"/>
      <c r="I9" s="981"/>
      <c r="J9" s="981"/>
      <c r="K9" s="981"/>
      <c r="L9" s="4">
        <v>38</v>
      </c>
      <c r="M9" s="4">
        <v>45</v>
      </c>
      <c r="N9" s="4">
        <v>63</v>
      </c>
    </row>
    <row r="10" spans="1:14" ht="16.5" thickBot="1" x14ac:dyDescent="0.3">
      <c r="A10" s="5"/>
      <c r="B10" s="384"/>
      <c r="C10" s="434"/>
      <c r="D10" s="980" t="s">
        <v>116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5.75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12"/>
      <c r="M11" s="12"/>
      <c r="N11" s="12"/>
    </row>
    <row r="12" spans="1:14" ht="13.5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x14ac:dyDescent="0.2">
      <c r="A13" s="1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18</v>
      </c>
      <c r="G14" s="972" t="s">
        <v>19</v>
      </c>
      <c r="H14" s="973" t="s">
        <v>20</v>
      </c>
      <c r="I14" s="972" t="s">
        <v>21</v>
      </c>
      <c r="J14" s="972" t="s">
        <v>22</v>
      </c>
      <c r="K14" s="972" t="s">
        <v>23</v>
      </c>
      <c r="L14" s="972" t="s">
        <v>24</v>
      </c>
      <c r="M14" s="972" t="s">
        <v>25</v>
      </c>
      <c r="N14" s="972"/>
    </row>
    <row r="15" spans="1:14" x14ac:dyDescent="0.2">
      <c r="A15" s="973"/>
      <c r="B15" s="973"/>
      <c r="C15" s="973"/>
      <c r="D15" s="973"/>
      <c r="E15" s="973"/>
      <c r="F15" s="973"/>
      <c r="G15" s="973"/>
      <c r="H15" s="979"/>
      <c r="I15" s="973"/>
      <c r="J15" s="973"/>
      <c r="K15" s="973"/>
      <c r="L15" s="973"/>
      <c r="M15" s="973"/>
      <c r="N15" s="973"/>
    </row>
    <row r="16" spans="1:14" ht="16.5" customHeight="1" x14ac:dyDescent="0.25">
      <c r="A16" s="39">
        <v>1</v>
      </c>
      <c r="B16" s="478" t="s">
        <v>65</v>
      </c>
      <c r="C16" s="478"/>
      <c r="D16" s="479"/>
      <c r="E16" s="480">
        <v>1992</v>
      </c>
      <c r="F16" s="469" t="s">
        <v>10</v>
      </c>
      <c r="G16" s="481" t="s">
        <v>27</v>
      </c>
      <c r="H16" s="53"/>
      <c r="I16" s="468">
        <v>67.95</v>
      </c>
      <c r="J16" s="469">
        <v>73</v>
      </c>
      <c r="K16" s="469">
        <v>20</v>
      </c>
      <c r="L16" s="254" t="s">
        <v>10</v>
      </c>
      <c r="M16" s="54" t="s">
        <v>133</v>
      </c>
      <c r="N16" s="44"/>
    </row>
    <row r="17" spans="1:14" s="24" customFormat="1" ht="35.25" customHeight="1" x14ac:dyDescent="0.25">
      <c r="A17" s="39">
        <f t="shared" ref="A17:A24" si="0">A16+1</f>
        <v>2</v>
      </c>
      <c r="B17" s="478" t="s">
        <v>304</v>
      </c>
      <c r="C17" s="482"/>
      <c r="D17" s="396"/>
      <c r="E17" s="161">
        <v>1994</v>
      </c>
      <c r="F17" s="228" t="s">
        <v>9</v>
      </c>
      <c r="G17" s="234" t="s">
        <v>86</v>
      </c>
      <c r="H17" s="238"/>
      <c r="I17" s="465">
        <v>66.75</v>
      </c>
      <c r="J17" s="466">
        <v>72</v>
      </c>
      <c r="K17" s="466">
        <v>18</v>
      </c>
      <c r="L17" s="254" t="s">
        <v>10</v>
      </c>
      <c r="M17" s="990" t="s">
        <v>499</v>
      </c>
      <c r="N17" s="991"/>
    </row>
    <row r="18" spans="1:14" s="24" customFormat="1" ht="22.5" customHeight="1" x14ac:dyDescent="0.25">
      <c r="A18" s="39">
        <f t="shared" si="0"/>
        <v>3</v>
      </c>
      <c r="B18" s="432" t="s">
        <v>28</v>
      </c>
      <c r="C18" s="225"/>
      <c r="D18" s="226"/>
      <c r="E18" s="227">
        <v>1999</v>
      </c>
      <c r="F18" s="228" t="s">
        <v>9</v>
      </c>
      <c r="G18" s="247" t="s">
        <v>120</v>
      </c>
      <c r="H18" s="216" t="s">
        <v>121</v>
      </c>
      <c r="I18" s="230">
        <v>67.900000000000006</v>
      </c>
      <c r="J18" s="231">
        <v>70</v>
      </c>
      <c r="K18" s="231">
        <v>16</v>
      </c>
      <c r="L18" s="254" t="s">
        <v>10</v>
      </c>
      <c r="M18" s="484" t="s">
        <v>29</v>
      </c>
      <c r="N18" s="233"/>
    </row>
    <row r="19" spans="1:14" s="24" customFormat="1" ht="15" x14ac:dyDescent="0.25">
      <c r="A19" s="39">
        <f t="shared" si="0"/>
        <v>4</v>
      </c>
      <c r="B19" s="432" t="s">
        <v>134</v>
      </c>
      <c r="C19" s="308"/>
      <c r="D19" s="309"/>
      <c r="E19" s="362">
        <v>1997</v>
      </c>
      <c r="F19" s="362" t="s">
        <v>8</v>
      </c>
      <c r="G19" s="481" t="s">
        <v>27</v>
      </c>
      <c r="H19" s="220"/>
      <c r="I19" s="465">
        <v>66.7</v>
      </c>
      <c r="J19" s="466">
        <v>67</v>
      </c>
      <c r="K19" s="466">
        <v>15</v>
      </c>
      <c r="L19" s="254" t="s">
        <v>10</v>
      </c>
      <c r="M19" s="236" t="s">
        <v>422</v>
      </c>
      <c r="N19" s="223"/>
    </row>
    <row r="20" spans="1:14" s="24" customFormat="1" ht="22.5" customHeight="1" x14ac:dyDescent="0.2">
      <c r="A20" s="39">
        <f t="shared" si="0"/>
        <v>5</v>
      </c>
      <c r="B20" s="433" t="s">
        <v>136</v>
      </c>
      <c r="C20" s="250"/>
      <c r="D20" s="251"/>
      <c r="E20" s="252">
        <v>1984</v>
      </c>
      <c r="F20" s="253" t="s">
        <v>10</v>
      </c>
      <c r="G20" s="483" t="s">
        <v>137</v>
      </c>
      <c r="H20" s="254" t="s">
        <v>31</v>
      </c>
      <c r="I20" s="255">
        <v>67.5</v>
      </c>
      <c r="J20" s="254">
        <v>64</v>
      </c>
      <c r="K20" s="254">
        <v>14</v>
      </c>
      <c r="L20" s="254" t="s">
        <v>10</v>
      </c>
      <c r="M20" s="322" t="s">
        <v>138</v>
      </c>
      <c r="N20" s="256"/>
    </row>
    <row r="21" spans="1:14" s="24" customFormat="1" ht="12.75" customHeight="1" x14ac:dyDescent="0.25">
      <c r="A21" s="39">
        <f t="shared" si="0"/>
        <v>6</v>
      </c>
      <c r="B21" s="432" t="s">
        <v>135</v>
      </c>
      <c r="C21" s="225"/>
      <c r="D21" s="226"/>
      <c r="E21" s="227">
        <v>1991</v>
      </c>
      <c r="F21" s="228" t="s">
        <v>10</v>
      </c>
      <c r="G21" s="234" t="s">
        <v>122</v>
      </c>
      <c r="H21" s="231" t="s">
        <v>31</v>
      </c>
      <c r="I21" s="230">
        <v>68</v>
      </c>
      <c r="J21" s="231">
        <v>62</v>
      </c>
      <c r="K21" s="231">
        <v>13</v>
      </c>
      <c r="L21" s="231" t="s">
        <v>9</v>
      </c>
      <c r="M21" s="262" t="s">
        <v>39</v>
      </c>
      <c r="N21" s="233"/>
    </row>
    <row r="22" spans="1:14" s="24" customFormat="1" ht="15.75" customHeight="1" x14ac:dyDescent="0.25">
      <c r="A22" s="39">
        <f t="shared" si="0"/>
        <v>7</v>
      </c>
      <c r="B22" s="308" t="s">
        <v>139</v>
      </c>
      <c r="C22" s="225"/>
      <c r="D22" s="226"/>
      <c r="E22" s="283">
        <v>1995</v>
      </c>
      <c r="F22" s="228" t="s">
        <v>9</v>
      </c>
      <c r="G22" s="247" t="s">
        <v>140</v>
      </c>
      <c r="H22" s="260" t="s">
        <v>141</v>
      </c>
      <c r="I22" s="230">
        <v>67.95</v>
      </c>
      <c r="J22" s="231">
        <v>54</v>
      </c>
      <c r="K22" s="231">
        <v>12</v>
      </c>
      <c r="L22" s="231" t="s">
        <v>9</v>
      </c>
      <c r="M22" s="485" t="s">
        <v>142</v>
      </c>
      <c r="N22" s="233"/>
    </row>
    <row r="23" spans="1:14" s="24" customFormat="1" ht="15" x14ac:dyDescent="0.25">
      <c r="A23" s="39">
        <f t="shared" si="0"/>
        <v>8</v>
      </c>
      <c r="B23" s="432" t="s">
        <v>143</v>
      </c>
      <c r="C23" s="308"/>
      <c r="D23" s="309"/>
      <c r="E23" s="362">
        <v>1994</v>
      </c>
      <c r="F23" s="362" t="s">
        <v>9</v>
      </c>
      <c r="G23" s="481" t="s">
        <v>32</v>
      </c>
      <c r="H23" s="238" t="s">
        <v>30</v>
      </c>
      <c r="I23" s="465">
        <v>67.55</v>
      </c>
      <c r="J23" s="466">
        <v>49</v>
      </c>
      <c r="K23" s="466">
        <v>11</v>
      </c>
      <c r="L23" s="231" t="s">
        <v>9</v>
      </c>
      <c r="M23" s="236" t="s">
        <v>144</v>
      </c>
      <c r="N23" s="223"/>
    </row>
    <row r="24" spans="1:14" s="24" customFormat="1" ht="15" x14ac:dyDescent="0.25">
      <c r="A24" s="39">
        <f t="shared" si="0"/>
        <v>9</v>
      </c>
      <c r="B24" s="432" t="s">
        <v>148</v>
      </c>
      <c r="C24" s="225"/>
      <c r="D24" s="226"/>
      <c r="E24" s="227">
        <v>1990</v>
      </c>
      <c r="F24" s="228" t="s">
        <v>8</v>
      </c>
      <c r="G24" s="234" t="s">
        <v>149</v>
      </c>
      <c r="H24" s="231"/>
      <c r="I24" s="230">
        <v>66.400000000000006</v>
      </c>
      <c r="J24" s="231">
        <v>45</v>
      </c>
      <c r="K24" s="231">
        <v>10</v>
      </c>
      <c r="L24" s="231" t="s">
        <v>443</v>
      </c>
      <c r="M24" s="262" t="s">
        <v>128</v>
      </c>
      <c r="N24" s="279"/>
    </row>
    <row r="25" spans="1:14" s="24" customFormat="1" ht="15" x14ac:dyDescent="0.25">
      <c r="A25" s="39">
        <v>10</v>
      </c>
      <c r="B25" s="432" t="s">
        <v>454</v>
      </c>
      <c r="C25" s="225"/>
      <c r="D25" s="226"/>
      <c r="E25" s="227">
        <v>1996</v>
      </c>
      <c r="F25" s="228">
        <v>1</v>
      </c>
      <c r="G25" s="234" t="s">
        <v>149</v>
      </c>
      <c r="H25" s="231"/>
      <c r="I25" s="230">
        <v>67.599999999999994</v>
      </c>
      <c r="J25" s="231">
        <v>29</v>
      </c>
      <c r="K25" s="231" t="s">
        <v>453</v>
      </c>
      <c r="L25" s="231"/>
      <c r="M25" s="262"/>
      <c r="N25" s="279"/>
    </row>
    <row r="26" spans="1:14" x14ac:dyDescent="0.2">
      <c r="A26" s="17"/>
      <c r="B26" s="21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ht="13.5" x14ac:dyDescent="0.25">
      <c r="A27" s="214" t="s">
        <v>480</v>
      </c>
      <c r="B27" s="210"/>
      <c r="C27" s="210"/>
      <c r="D27" s="210"/>
      <c r="E27" s="210"/>
      <c r="F27" s="210"/>
      <c r="G27" s="210"/>
      <c r="H27" s="214" t="s">
        <v>40</v>
      </c>
      <c r="J27" s="17"/>
      <c r="K27" s="205"/>
      <c r="L27" s="475" t="s">
        <v>479</v>
      </c>
      <c r="N27" s="205"/>
    </row>
    <row r="28" spans="1:14" ht="13.5" x14ac:dyDescent="0.25">
      <c r="A28" s="214"/>
      <c r="B28" s="383"/>
      <c r="C28" s="205"/>
      <c r="D28" s="17"/>
      <c r="E28" s="17"/>
      <c r="F28" s="17"/>
      <c r="G28" s="17"/>
      <c r="H28" s="214"/>
      <c r="J28" s="17"/>
      <c r="K28" s="205"/>
      <c r="L28" s="476"/>
      <c r="M28" s="17"/>
      <c r="N28" s="17"/>
    </row>
    <row r="29" spans="1:14" ht="13.5" x14ac:dyDescent="0.25">
      <c r="A29" s="214" t="s">
        <v>437</v>
      </c>
      <c r="B29" s="210"/>
      <c r="C29" s="210"/>
      <c r="D29" s="210"/>
      <c r="E29" s="210"/>
      <c r="F29" s="210"/>
      <c r="G29" s="210"/>
      <c r="H29" s="214" t="s">
        <v>41</v>
      </c>
      <c r="J29" s="210"/>
      <c r="L29" s="477" t="s">
        <v>481</v>
      </c>
      <c r="M29" s="205"/>
      <c r="N29" s="205"/>
    </row>
  </sheetData>
  <mergeCells count="28">
    <mergeCell ref="A14:A15"/>
    <mergeCell ref="L6:N6"/>
    <mergeCell ref="M17:N17"/>
    <mergeCell ref="L14:L15"/>
    <mergeCell ref="M14:N15"/>
    <mergeCell ref="K14:K15"/>
    <mergeCell ref="A7:B7"/>
    <mergeCell ref="C7:K7"/>
    <mergeCell ref="L7:N7"/>
    <mergeCell ref="J14:J15"/>
    <mergeCell ref="B14:D15"/>
    <mergeCell ref="E14:E15"/>
    <mergeCell ref="H14:H15"/>
    <mergeCell ref="I14:I15"/>
    <mergeCell ref="F14:F15"/>
    <mergeCell ref="G14:G15"/>
    <mergeCell ref="A8:B9"/>
    <mergeCell ref="D8:K8"/>
    <mergeCell ref="D9:K9"/>
    <mergeCell ref="D10:K10"/>
    <mergeCell ref="A1:N1"/>
    <mergeCell ref="A2:N2"/>
    <mergeCell ref="A3:N3"/>
    <mergeCell ref="A4:N4"/>
    <mergeCell ref="A6:C6"/>
    <mergeCell ref="D6:K6"/>
    <mergeCell ref="A5:C5"/>
    <mergeCell ref="L5:N5"/>
  </mergeCells>
  <phoneticPr fontId="33" type="noConversion"/>
  <pageMargins left="0.7" right="0.7" top="0.75" bottom="0.75" header="0.3" footer="0.3"/>
  <pageSetup paperSize="9" scale="87" orientation="landscape" r:id="rId1"/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zoomScaleSheetLayoutView="100" workbookViewId="0">
      <selection activeCell="L9" sqref="L9:N9"/>
    </sheetView>
  </sheetViews>
  <sheetFormatPr defaultRowHeight="12.75" x14ac:dyDescent="0.2"/>
  <cols>
    <col min="2" max="2" width="9.140625" style="167" customWidth="1"/>
    <col min="4" max="4" width="6.5703125" customWidth="1"/>
    <col min="7" max="7" width="24.140625" customWidth="1"/>
    <col min="8" max="8" width="9.7109375" customWidth="1"/>
    <col min="11" max="11" width="7.7109375" customWidth="1"/>
    <col min="12" max="12" width="8.7109375" customWidth="1"/>
    <col min="13" max="13" width="13.140625" customWidth="1"/>
    <col min="14" max="14" width="18.570312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2</v>
      </c>
      <c r="M5" s="971"/>
      <c r="N5" s="971"/>
    </row>
    <row r="6" spans="1:14" ht="15.75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5.75" x14ac:dyDescent="0.25">
      <c r="A8" s="986">
        <v>87</v>
      </c>
      <c r="B8" s="986"/>
      <c r="C8" s="2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5.75" x14ac:dyDescent="0.25">
      <c r="A9" s="986"/>
      <c r="B9" s="986"/>
      <c r="C9" s="2"/>
      <c r="D9" s="980" t="s">
        <v>11</v>
      </c>
      <c r="E9" s="981"/>
      <c r="F9" s="981"/>
      <c r="G9" s="981"/>
      <c r="H9" s="981"/>
      <c r="I9" s="981"/>
      <c r="J9" s="981"/>
      <c r="K9" s="981"/>
      <c r="L9" s="4">
        <v>43</v>
      </c>
      <c r="M9" s="4">
        <v>50</v>
      </c>
      <c r="N9" s="4">
        <v>68</v>
      </c>
    </row>
    <row r="10" spans="1:14" ht="16.5" thickBot="1" x14ac:dyDescent="0.3">
      <c r="A10" s="5"/>
      <c r="B10" s="384"/>
      <c r="C10" s="2"/>
      <c r="D10" s="980" t="s">
        <v>195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5.75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12"/>
      <c r="M11" s="12"/>
      <c r="N11" s="12"/>
    </row>
    <row r="12" spans="1:14" ht="13.5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x14ac:dyDescent="0.2">
      <c r="A13" s="1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18</v>
      </c>
      <c r="G14" s="972" t="s">
        <v>19</v>
      </c>
      <c r="H14" s="973" t="s">
        <v>20</v>
      </c>
      <c r="I14" s="972" t="s">
        <v>21</v>
      </c>
      <c r="J14" s="972" t="s">
        <v>22</v>
      </c>
      <c r="K14" s="972" t="s">
        <v>23</v>
      </c>
      <c r="L14" s="972" t="s">
        <v>24</v>
      </c>
      <c r="M14" s="972" t="s">
        <v>25</v>
      </c>
      <c r="N14" s="972"/>
    </row>
    <row r="15" spans="1:14" x14ac:dyDescent="0.2">
      <c r="A15" s="972"/>
      <c r="B15" s="973"/>
      <c r="C15" s="973"/>
      <c r="D15" s="973"/>
      <c r="E15" s="973"/>
      <c r="F15" s="973"/>
      <c r="G15" s="973"/>
      <c r="H15" s="979"/>
      <c r="I15" s="973"/>
      <c r="J15" s="973"/>
      <c r="K15" s="973"/>
      <c r="L15" s="973"/>
      <c r="M15" s="973"/>
      <c r="N15" s="973"/>
    </row>
    <row r="16" spans="1:14" s="24" customFormat="1" ht="15" customHeight="1" x14ac:dyDescent="0.25">
      <c r="A16" s="18">
        <v>1</v>
      </c>
      <c r="B16" s="387" t="s">
        <v>151</v>
      </c>
      <c r="C16" s="225"/>
      <c r="D16" s="226"/>
      <c r="E16" s="227">
        <v>1992</v>
      </c>
      <c r="F16" s="228" t="s">
        <v>10</v>
      </c>
      <c r="G16" s="231" t="s">
        <v>152</v>
      </c>
      <c r="H16" s="231" t="s">
        <v>153</v>
      </c>
      <c r="I16" s="230">
        <v>72.099999999999994</v>
      </c>
      <c r="J16" s="231">
        <v>84</v>
      </c>
      <c r="K16" s="231">
        <v>20</v>
      </c>
      <c r="L16" s="228" t="s">
        <v>10</v>
      </c>
      <c r="M16" s="224" t="s">
        <v>154</v>
      </c>
      <c r="N16" s="233"/>
    </row>
    <row r="17" spans="1:14" s="24" customFormat="1" ht="15" customHeight="1" x14ac:dyDescent="0.25">
      <c r="A17" s="18">
        <f>A16+1</f>
        <v>2</v>
      </c>
      <c r="B17" s="490" t="s">
        <v>308</v>
      </c>
      <c r="C17" s="491"/>
      <c r="D17" s="172"/>
      <c r="E17" s="496">
        <v>1997</v>
      </c>
      <c r="F17" s="496" t="s">
        <v>9</v>
      </c>
      <c r="G17" s="231" t="s">
        <v>152</v>
      </c>
      <c r="H17" s="26"/>
      <c r="I17" s="22">
        <v>72.25</v>
      </c>
      <c r="J17" s="21">
        <v>82</v>
      </c>
      <c r="K17" s="21">
        <v>18</v>
      </c>
      <c r="L17" s="228" t="s">
        <v>10</v>
      </c>
      <c r="M17" s="487" t="s">
        <v>416</v>
      </c>
      <c r="N17" s="25"/>
    </row>
    <row r="18" spans="1:14" s="24" customFormat="1" ht="12.75" customHeight="1" x14ac:dyDescent="0.25">
      <c r="A18" s="18">
        <f t="shared" ref="A18:A27" si="0">A17+1</f>
        <v>3</v>
      </c>
      <c r="B18" s="389" t="s">
        <v>71</v>
      </c>
      <c r="C18" s="492"/>
      <c r="D18" s="266"/>
      <c r="E18" s="362">
        <v>1987</v>
      </c>
      <c r="F18" s="362" t="s">
        <v>10</v>
      </c>
      <c r="G18" s="53" t="s">
        <v>35</v>
      </c>
      <c r="H18" s="238"/>
      <c r="I18" s="200">
        <v>73</v>
      </c>
      <c r="J18" s="220">
        <v>76</v>
      </c>
      <c r="K18" s="220">
        <v>16</v>
      </c>
      <c r="L18" s="228" t="s">
        <v>10</v>
      </c>
      <c r="M18" s="488" t="s">
        <v>210</v>
      </c>
      <c r="N18" s="373"/>
    </row>
    <row r="19" spans="1:14" s="24" customFormat="1" ht="15" x14ac:dyDescent="0.25">
      <c r="A19" s="18">
        <f t="shared" si="0"/>
        <v>4</v>
      </c>
      <c r="B19" s="389" t="s">
        <v>155</v>
      </c>
      <c r="C19" s="492"/>
      <c r="D19" s="266"/>
      <c r="E19" s="362">
        <v>1990</v>
      </c>
      <c r="F19" s="362" t="s">
        <v>9</v>
      </c>
      <c r="G19" s="220" t="s">
        <v>27</v>
      </c>
      <c r="H19" s="238" t="s">
        <v>31</v>
      </c>
      <c r="I19" s="200">
        <v>71.3</v>
      </c>
      <c r="J19" s="220">
        <v>62</v>
      </c>
      <c r="K19" s="220">
        <v>15</v>
      </c>
      <c r="L19" s="238" t="s">
        <v>9</v>
      </c>
      <c r="M19" s="387" t="s">
        <v>156</v>
      </c>
      <c r="N19" s="223"/>
    </row>
    <row r="20" spans="1:14" s="24" customFormat="1" ht="12.75" customHeight="1" x14ac:dyDescent="0.25">
      <c r="A20" s="18">
        <f t="shared" si="0"/>
        <v>5</v>
      </c>
      <c r="B20" s="489" t="s">
        <v>95</v>
      </c>
      <c r="C20" s="478"/>
      <c r="D20" s="42"/>
      <c r="E20" s="480">
        <v>1996</v>
      </c>
      <c r="F20" s="469" t="s">
        <v>9</v>
      </c>
      <c r="G20" s="53" t="s">
        <v>33</v>
      </c>
      <c r="H20" s="53"/>
      <c r="I20" s="357">
        <v>73</v>
      </c>
      <c r="J20" s="53">
        <v>60</v>
      </c>
      <c r="K20" s="53">
        <v>14</v>
      </c>
      <c r="L20" s="238" t="s">
        <v>9</v>
      </c>
      <c r="M20" s="489" t="s">
        <v>96</v>
      </c>
      <c r="N20" s="44"/>
    </row>
    <row r="21" spans="1:14" s="24" customFormat="1" ht="12.75" customHeight="1" x14ac:dyDescent="0.25">
      <c r="A21" s="18">
        <f t="shared" si="0"/>
        <v>6</v>
      </c>
      <c r="B21" s="387" t="s">
        <v>160</v>
      </c>
      <c r="C21" s="225"/>
      <c r="D21" s="226"/>
      <c r="E21" s="227">
        <v>1991</v>
      </c>
      <c r="F21" s="228" t="s">
        <v>9</v>
      </c>
      <c r="G21" s="231" t="s">
        <v>122</v>
      </c>
      <c r="H21" s="235" t="s">
        <v>123</v>
      </c>
      <c r="I21" s="230">
        <v>71.95</v>
      </c>
      <c r="J21" s="231">
        <v>59</v>
      </c>
      <c r="K21" s="231">
        <v>13</v>
      </c>
      <c r="L21" s="238" t="s">
        <v>9</v>
      </c>
      <c r="M21" s="224" t="s">
        <v>124</v>
      </c>
      <c r="N21" s="233"/>
    </row>
    <row r="22" spans="1:14" s="24" customFormat="1" ht="15.75" customHeight="1" x14ac:dyDescent="0.25">
      <c r="A22" s="18">
        <f t="shared" si="0"/>
        <v>7</v>
      </c>
      <c r="B22" s="387" t="s">
        <v>161</v>
      </c>
      <c r="C22" s="225"/>
      <c r="D22" s="226"/>
      <c r="E22" s="227">
        <v>1979</v>
      </c>
      <c r="F22" s="228" t="s">
        <v>9</v>
      </c>
      <c r="G22" s="231" t="s">
        <v>36</v>
      </c>
      <c r="H22" s="231" t="s">
        <v>37</v>
      </c>
      <c r="I22" s="230">
        <v>70.5</v>
      </c>
      <c r="J22" s="231">
        <v>56</v>
      </c>
      <c r="K22" s="231">
        <v>12</v>
      </c>
      <c r="L22" s="238" t="s">
        <v>9</v>
      </c>
      <c r="M22" s="224" t="s">
        <v>162</v>
      </c>
      <c r="N22" s="233"/>
    </row>
    <row r="23" spans="1:14" s="24" customFormat="1" ht="15" x14ac:dyDescent="0.25">
      <c r="A23" s="18">
        <f t="shared" si="0"/>
        <v>8</v>
      </c>
      <c r="B23" s="387" t="s">
        <v>163</v>
      </c>
      <c r="C23" s="225"/>
      <c r="D23" s="226"/>
      <c r="E23" s="227">
        <v>1994</v>
      </c>
      <c r="F23" s="231" t="s">
        <v>9</v>
      </c>
      <c r="G23" s="231" t="s">
        <v>145</v>
      </c>
      <c r="H23" s="231" t="s">
        <v>146</v>
      </c>
      <c r="I23" s="230">
        <v>72.900000000000006</v>
      </c>
      <c r="J23" s="231">
        <v>53</v>
      </c>
      <c r="K23" s="231">
        <v>11</v>
      </c>
      <c r="L23" s="238" t="s">
        <v>9</v>
      </c>
      <c r="M23" s="224" t="s">
        <v>164</v>
      </c>
      <c r="N23" s="270"/>
    </row>
    <row r="24" spans="1:14" s="24" customFormat="1" ht="15" x14ac:dyDescent="0.25">
      <c r="A24" s="18">
        <f t="shared" si="0"/>
        <v>9</v>
      </c>
      <c r="B24" s="489" t="s">
        <v>167</v>
      </c>
      <c r="C24" s="478"/>
      <c r="D24" s="42"/>
      <c r="E24" s="480">
        <v>1991</v>
      </c>
      <c r="F24" s="469" t="s">
        <v>8</v>
      </c>
      <c r="G24" s="53" t="s">
        <v>168</v>
      </c>
      <c r="H24" s="53" t="s">
        <v>169</v>
      </c>
      <c r="I24" s="357">
        <v>72.849999999999994</v>
      </c>
      <c r="J24" s="53">
        <v>50</v>
      </c>
      <c r="K24" s="53">
        <v>10</v>
      </c>
      <c r="L24" s="238" t="s">
        <v>443</v>
      </c>
      <c r="M24" s="489" t="s">
        <v>170</v>
      </c>
      <c r="N24" s="44"/>
    </row>
    <row r="25" spans="1:14" s="24" customFormat="1" ht="15.75" x14ac:dyDescent="0.25">
      <c r="A25" s="18">
        <f t="shared" si="0"/>
        <v>10</v>
      </c>
      <c r="B25" s="387" t="s">
        <v>171</v>
      </c>
      <c r="C25" s="225"/>
      <c r="D25" s="226"/>
      <c r="E25" s="227">
        <v>1972</v>
      </c>
      <c r="F25" s="228" t="s">
        <v>8</v>
      </c>
      <c r="G25" s="260" t="s">
        <v>172</v>
      </c>
      <c r="H25" s="231"/>
      <c r="I25" s="230">
        <v>72.599999999999994</v>
      </c>
      <c r="J25" s="231">
        <v>35</v>
      </c>
      <c r="K25" s="231">
        <v>9</v>
      </c>
      <c r="L25" s="231"/>
      <c r="M25" s="248" t="s">
        <v>87</v>
      </c>
      <c r="N25" s="233" t="s">
        <v>425</v>
      </c>
    </row>
    <row r="26" spans="1:14" s="24" customFormat="1" ht="15" x14ac:dyDescent="0.25">
      <c r="A26" s="18">
        <f t="shared" si="0"/>
        <v>11</v>
      </c>
      <c r="B26" s="389" t="s">
        <v>413</v>
      </c>
      <c r="C26" s="493"/>
      <c r="D26" s="237"/>
      <c r="E26" s="362">
        <v>1995</v>
      </c>
      <c r="F26" s="362" t="s">
        <v>9</v>
      </c>
      <c r="G26" s="220" t="s">
        <v>131</v>
      </c>
      <c r="H26" s="238"/>
      <c r="I26" s="200">
        <v>71.5</v>
      </c>
      <c r="J26" s="220">
        <v>31</v>
      </c>
      <c r="K26" s="220">
        <v>8</v>
      </c>
      <c r="L26" s="220"/>
      <c r="M26" s="387" t="s">
        <v>426</v>
      </c>
      <c r="N26" s="223"/>
    </row>
    <row r="27" spans="1:14" s="24" customFormat="1" ht="25.5" x14ac:dyDescent="0.2">
      <c r="A27" s="18">
        <f t="shared" si="0"/>
        <v>12</v>
      </c>
      <c r="B27" s="494" t="s">
        <v>157</v>
      </c>
      <c r="C27" s="495"/>
      <c r="D27" s="314"/>
      <c r="E27" s="497">
        <v>1989</v>
      </c>
      <c r="F27" s="473" t="s">
        <v>10</v>
      </c>
      <c r="G27" s="301" t="s">
        <v>158</v>
      </c>
      <c r="H27" s="415"/>
      <c r="I27" s="33">
        <v>73</v>
      </c>
      <c r="J27" s="32">
        <v>30</v>
      </c>
      <c r="K27" s="28">
        <v>7</v>
      </c>
      <c r="L27" s="400"/>
      <c r="M27" s="486" t="s">
        <v>159</v>
      </c>
      <c r="N27" s="314"/>
    </row>
    <row r="28" spans="1:14" x14ac:dyDescent="0.2">
      <c r="A28" s="17"/>
      <c r="B28" s="2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13.5" x14ac:dyDescent="0.25">
      <c r="A29" s="214" t="s">
        <v>480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205"/>
      <c r="L29" s="475" t="s">
        <v>479</v>
      </c>
      <c r="N29" s="205"/>
    </row>
    <row r="30" spans="1:14" ht="13.5" x14ac:dyDescent="0.25">
      <c r="A30" s="214"/>
      <c r="B30" s="383"/>
      <c r="C30" s="205"/>
      <c r="D30" s="17"/>
      <c r="E30" s="17"/>
      <c r="F30" s="17"/>
      <c r="G30" s="17"/>
      <c r="H30" s="214"/>
      <c r="J30" s="17"/>
      <c r="K30" s="205"/>
      <c r="L30" s="476"/>
      <c r="M30" s="17"/>
      <c r="N30" s="17"/>
    </row>
    <row r="31" spans="1:14" ht="13.5" x14ac:dyDescent="0.25">
      <c r="A31" s="214" t="s">
        <v>437</v>
      </c>
      <c r="B31" s="210"/>
      <c r="C31" s="210"/>
      <c r="D31" s="210"/>
      <c r="E31" s="210"/>
      <c r="F31" s="210"/>
      <c r="G31" s="210"/>
      <c r="H31" s="214" t="s">
        <v>41</v>
      </c>
      <c r="J31" s="210"/>
      <c r="L31" s="477" t="s">
        <v>481</v>
      </c>
      <c r="M31" s="205"/>
      <c r="N31" s="205"/>
    </row>
  </sheetData>
  <mergeCells count="27">
    <mergeCell ref="A8:B9"/>
    <mergeCell ref="A14:A15"/>
    <mergeCell ref="L7:N7"/>
    <mergeCell ref="G14:G15"/>
    <mergeCell ref="H14:H15"/>
    <mergeCell ref="F14:F15"/>
    <mergeCell ref="J14:J15"/>
    <mergeCell ref="L14:L15"/>
    <mergeCell ref="M14:N15"/>
    <mergeCell ref="D8:K8"/>
    <mergeCell ref="D9:K9"/>
    <mergeCell ref="D10:K10"/>
    <mergeCell ref="B14:D15"/>
    <mergeCell ref="I14:I15"/>
    <mergeCell ref="E14:E15"/>
    <mergeCell ref="K14:K15"/>
    <mergeCell ref="A7:B7"/>
    <mergeCell ref="C7:K7"/>
    <mergeCell ref="A1:N1"/>
    <mergeCell ref="A2:N2"/>
    <mergeCell ref="A3:N3"/>
    <mergeCell ref="A4:N4"/>
    <mergeCell ref="D6:K6"/>
    <mergeCell ref="L6:N6"/>
    <mergeCell ref="A6:C6"/>
    <mergeCell ref="A5:C5"/>
    <mergeCell ref="L5:N5"/>
  </mergeCells>
  <phoneticPr fontId="33" type="noConversion"/>
  <pageMargins left="0.7" right="0.7" top="0.75" bottom="0.75" header="0.3" footer="0.3"/>
  <pageSetup paperSize="9" scale="87" orientation="landscape" r:id="rId1"/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opLeftCell="A11" zoomScaleSheetLayoutView="100" workbookViewId="0">
      <selection activeCell="O23" sqref="O23"/>
    </sheetView>
  </sheetViews>
  <sheetFormatPr defaultRowHeight="12.75" x14ac:dyDescent="0.2"/>
  <cols>
    <col min="1" max="1" width="7.42578125" customWidth="1"/>
    <col min="2" max="2" width="24.42578125" style="167" customWidth="1"/>
    <col min="3" max="3" width="9.140625" customWidth="1"/>
    <col min="4" max="4" width="6.5703125" hidden="1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26.14062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0"/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</row>
    <row r="6" spans="1:14" ht="28.15" customHeight="1" x14ac:dyDescent="0.2">
      <c r="A6" s="186"/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  <c r="M6" s="750"/>
      <c r="N6" s="750"/>
    </row>
    <row r="7" spans="1:14" ht="13.5" x14ac:dyDescent="0.25">
      <c r="A7" s="970" t="s">
        <v>681</v>
      </c>
      <c r="B7" s="970"/>
      <c r="C7" s="752"/>
      <c r="D7" s="1"/>
      <c r="E7" s="1"/>
      <c r="F7" s="1"/>
      <c r="G7" s="1"/>
      <c r="H7" s="1"/>
      <c r="I7" s="1"/>
      <c r="J7" s="1"/>
      <c r="K7" s="1"/>
      <c r="L7" s="971" t="s">
        <v>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985">
        <v>87</v>
      </c>
      <c r="B10" s="985"/>
      <c r="C10" s="751"/>
      <c r="D10" s="980" t="s">
        <v>533</v>
      </c>
      <c r="E10" s="981"/>
      <c r="F10" s="981"/>
      <c r="G10" s="981"/>
      <c r="H10" s="981"/>
      <c r="I10" s="981"/>
      <c r="J10" s="981"/>
      <c r="K10" s="981"/>
      <c r="L10" s="749" t="s">
        <v>8</v>
      </c>
      <c r="M10" s="749" t="s">
        <v>9</v>
      </c>
      <c r="N10" s="749" t="s">
        <v>10</v>
      </c>
    </row>
    <row r="11" spans="1:14" ht="15.75" x14ac:dyDescent="0.25">
      <c r="A11" s="985"/>
      <c r="B11" s="985"/>
      <c r="C11" s="751"/>
      <c r="D11" s="980" t="s">
        <v>11</v>
      </c>
      <c r="E11" s="981"/>
      <c r="F11" s="981"/>
      <c r="G11" s="981"/>
      <c r="H11" s="981"/>
      <c r="I11" s="981"/>
      <c r="J11" s="981"/>
      <c r="K11" s="981"/>
      <c r="L11" s="4">
        <v>43</v>
      </c>
      <c r="M11" s="4">
        <v>50</v>
      </c>
      <c r="N11" s="4">
        <v>68</v>
      </c>
    </row>
    <row r="12" spans="1:14" ht="16.5" thickBot="1" x14ac:dyDescent="0.3">
      <c r="A12" s="5"/>
      <c r="B12" s="384"/>
      <c r="C12" s="751"/>
      <c r="D12" s="980" t="s">
        <v>195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0"/>
      <c r="G13" s="750"/>
      <c r="H13" s="750"/>
      <c r="I13" s="750"/>
      <c r="J13" s="750"/>
      <c r="K13" s="750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0"/>
      <c r="G14" s="750"/>
      <c r="H14" s="750"/>
      <c r="I14" s="750"/>
      <c r="J14" s="750"/>
      <c r="K14" s="750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817" t="s">
        <v>686</v>
      </c>
      <c r="B18" s="489" t="s">
        <v>151</v>
      </c>
      <c r="C18" s="478"/>
      <c r="D18" s="479"/>
      <c r="E18" s="480">
        <v>1992</v>
      </c>
      <c r="F18" s="505" t="s">
        <v>10</v>
      </c>
      <c r="G18" s="228" t="s">
        <v>624</v>
      </c>
      <c r="H18" s="469"/>
      <c r="I18" s="468">
        <v>72.400000000000006</v>
      </c>
      <c r="J18" s="469">
        <v>84</v>
      </c>
      <c r="K18" s="469">
        <v>20</v>
      </c>
      <c r="L18" s="505" t="s">
        <v>10</v>
      </c>
      <c r="M18" s="462" t="s">
        <v>625</v>
      </c>
      <c r="N18" s="802"/>
    </row>
    <row r="19" spans="1:14" s="24" customFormat="1" ht="17.25" customHeight="1" x14ac:dyDescent="0.25">
      <c r="A19" s="817" t="s">
        <v>687</v>
      </c>
      <c r="B19" s="387" t="s">
        <v>509</v>
      </c>
      <c r="C19" s="225"/>
      <c r="D19" s="226"/>
      <c r="E19" s="227">
        <v>1999</v>
      </c>
      <c r="F19" s="228" t="s">
        <v>10</v>
      </c>
      <c r="G19" s="231" t="s">
        <v>489</v>
      </c>
      <c r="H19" s="231"/>
      <c r="I19" s="230">
        <v>71.2</v>
      </c>
      <c r="J19" s="231">
        <v>81</v>
      </c>
      <c r="K19" s="231">
        <v>18</v>
      </c>
      <c r="L19" s="505" t="s">
        <v>10</v>
      </c>
      <c r="M19" s="224" t="s">
        <v>29</v>
      </c>
      <c r="N19" s="233"/>
    </row>
    <row r="20" spans="1:14" s="24" customFormat="1" ht="16.5" customHeight="1" x14ac:dyDescent="0.25">
      <c r="A20" s="817" t="s">
        <v>688</v>
      </c>
      <c r="B20" s="387" t="s">
        <v>435</v>
      </c>
      <c r="C20" s="225"/>
      <c r="D20" s="226"/>
      <c r="E20" s="227">
        <v>1997</v>
      </c>
      <c r="F20" s="228" t="s">
        <v>10</v>
      </c>
      <c r="G20" s="231" t="s">
        <v>565</v>
      </c>
      <c r="H20" s="231"/>
      <c r="I20" s="230">
        <v>73</v>
      </c>
      <c r="J20" s="231">
        <v>68</v>
      </c>
      <c r="K20" s="231">
        <v>16</v>
      </c>
      <c r="L20" s="505" t="s">
        <v>10</v>
      </c>
      <c r="M20" s="224" t="s">
        <v>623</v>
      </c>
      <c r="N20" s="233"/>
    </row>
    <row r="21" spans="1:14" s="24" customFormat="1" ht="15" x14ac:dyDescent="0.25">
      <c r="A21" s="817" t="s">
        <v>689</v>
      </c>
      <c r="B21" s="392" t="s">
        <v>160</v>
      </c>
      <c r="C21" s="302"/>
      <c r="D21" s="303"/>
      <c r="E21" s="556">
        <v>1991</v>
      </c>
      <c r="F21" s="578" t="s">
        <v>9</v>
      </c>
      <c r="G21" s="471" t="s">
        <v>594</v>
      </c>
      <c r="H21" s="471"/>
      <c r="I21" s="470">
        <v>71.3</v>
      </c>
      <c r="J21" s="471">
        <v>64</v>
      </c>
      <c r="K21" s="471">
        <v>15</v>
      </c>
      <c r="L21" s="578" t="s">
        <v>9</v>
      </c>
      <c r="M21" s="388" t="s">
        <v>595</v>
      </c>
      <c r="N21" s="803"/>
    </row>
    <row r="22" spans="1:14" s="24" customFormat="1" ht="15.75" customHeight="1" x14ac:dyDescent="0.25">
      <c r="A22" s="817" t="s">
        <v>690</v>
      </c>
      <c r="B22" s="801" t="s">
        <v>155</v>
      </c>
      <c r="C22" s="804"/>
      <c r="D22" s="805"/>
      <c r="E22" s="535">
        <v>1990</v>
      </c>
      <c r="F22" s="473" t="s">
        <v>9</v>
      </c>
      <c r="G22" s="473" t="s">
        <v>27</v>
      </c>
      <c r="H22" s="473"/>
      <c r="I22" s="472">
        <v>72.3</v>
      </c>
      <c r="J22" s="473">
        <v>63</v>
      </c>
      <c r="K22" s="473">
        <v>14</v>
      </c>
      <c r="L22" s="578" t="s">
        <v>9</v>
      </c>
      <c r="M22" s="801" t="s">
        <v>183</v>
      </c>
      <c r="N22" s="806"/>
    </row>
    <row r="23" spans="1:14" s="24" customFormat="1" ht="15" x14ac:dyDescent="0.25">
      <c r="A23" s="817" t="s">
        <v>691</v>
      </c>
      <c r="B23" s="487" t="s">
        <v>505</v>
      </c>
      <c r="C23" s="499"/>
      <c r="D23" s="500"/>
      <c r="E23" s="807">
        <v>1979</v>
      </c>
      <c r="F23" s="496" t="s">
        <v>10</v>
      </c>
      <c r="G23" s="633" t="s">
        <v>615</v>
      </c>
      <c r="H23" s="496"/>
      <c r="I23" s="547">
        <v>70.400000000000006</v>
      </c>
      <c r="J23" s="633">
        <v>55</v>
      </c>
      <c r="K23" s="471">
        <v>13</v>
      </c>
      <c r="L23" s="578" t="s">
        <v>9</v>
      </c>
      <c r="M23" s="388" t="s">
        <v>162</v>
      </c>
      <c r="N23" s="803"/>
    </row>
    <row r="24" spans="1:14" s="24" customFormat="1" ht="15" x14ac:dyDescent="0.25">
      <c r="A24" s="817" t="s">
        <v>692</v>
      </c>
      <c r="B24" s="489" t="s">
        <v>379</v>
      </c>
      <c r="C24" s="478"/>
      <c r="D24" s="479"/>
      <c r="E24" s="480">
        <v>1996</v>
      </c>
      <c r="F24" s="505" t="s">
        <v>9</v>
      </c>
      <c r="G24" s="473" t="s">
        <v>35</v>
      </c>
      <c r="H24" s="469"/>
      <c r="I24" s="468">
        <v>72.349999999999994</v>
      </c>
      <c r="J24" s="469">
        <v>53</v>
      </c>
      <c r="K24" s="469">
        <v>12</v>
      </c>
      <c r="L24" s="578" t="s">
        <v>9</v>
      </c>
      <c r="M24" s="464" t="s">
        <v>622</v>
      </c>
      <c r="N24" s="802"/>
    </row>
    <row r="25" spans="1:14" s="24" customFormat="1" ht="15" x14ac:dyDescent="0.25">
      <c r="A25" s="817" t="s">
        <v>693</v>
      </c>
      <c r="B25" s="387" t="s">
        <v>620</v>
      </c>
      <c r="C25" s="225"/>
      <c r="D25" s="226"/>
      <c r="E25" s="227">
        <v>1992</v>
      </c>
      <c r="F25" s="228" t="s">
        <v>8</v>
      </c>
      <c r="G25" s="228" t="s">
        <v>35</v>
      </c>
      <c r="H25" s="161"/>
      <c r="I25" s="230">
        <v>72.599999999999994</v>
      </c>
      <c r="J25" s="231">
        <v>52</v>
      </c>
      <c r="K25" s="231">
        <v>11</v>
      </c>
      <c r="L25" s="818" t="s">
        <v>718</v>
      </c>
      <c r="M25" s="248" t="s">
        <v>621</v>
      </c>
      <c r="N25" s="233"/>
    </row>
    <row r="26" spans="1:14" s="24" customFormat="1" ht="15" x14ac:dyDescent="0.25">
      <c r="A26" s="817" t="s">
        <v>709</v>
      </c>
      <c r="B26" s="487" t="s">
        <v>721</v>
      </c>
      <c r="C26" s="499"/>
      <c r="D26" s="500"/>
      <c r="E26" s="511">
        <v>1997</v>
      </c>
      <c r="F26" s="511" t="s">
        <v>8</v>
      </c>
      <c r="G26" s="474" t="s">
        <v>35</v>
      </c>
      <c r="H26" s="470"/>
      <c r="I26" s="496">
        <v>72.349999999999994</v>
      </c>
      <c r="J26" s="496">
        <v>44</v>
      </c>
      <c r="K26" s="471">
        <v>10</v>
      </c>
      <c r="L26" s="471" t="s">
        <v>8</v>
      </c>
      <c r="M26" s="388" t="s">
        <v>210</v>
      </c>
      <c r="N26" s="803"/>
    </row>
    <row r="27" spans="1:14" s="24" customFormat="1" ht="15" x14ac:dyDescent="0.25">
      <c r="A27" s="817" t="s">
        <v>710</v>
      </c>
      <c r="B27" s="387" t="s">
        <v>714</v>
      </c>
      <c r="C27" s="225"/>
      <c r="D27" s="226"/>
      <c r="E27" s="227">
        <v>1992</v>
      </c>
      <c r="F27" s="228" t="s">
        <v>9</v>
      </c>
      <c r="G27" s="474" t="s">
        <v>35</v>
      </c>
      <c r="H27" s="470"/>
      <c r="I27" s="808">
        <v>70</v>
      </c>
      <c r="J27" s="496">
        <v>40</v>
      </c>
      <c r="K27" s="471">
        <v>9</v>
      </c>
      <c r="L27" s="471"/>
      <c r="M27" s="388" t="s">
        <v>715</v>
      </c>
      <c r="N27" s="233"/>
    </row>
    <row r="28" spans="1:14" x14ac:dyDescent="0.2">
      <c r="A28" s="17"/>
      <c r="B28" s="2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13.5" x14ac:dyDescent="0.25">
      <c r="A29" s="214" t="s">
        <v>534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761"/>
      <c r="L29" s="475" t="s">
        <v>536</v>
      </c>
      <c r="N29" s="753"/>
    </row>
    <row r="30" spans="1:14" ht="13.5" x14ac:dyDescent="0.25">
      <c r="A30" s="214"/>
      <c r="B30" s="383"/>
      <c r="C30" s="761"/>
      <c r="D30" s="17"/>
      <c r="E30" s="17"/>
      <c r="F30" s="17"/>
      <c r="G30" s="17"/>
      <c r="H30" s="214"/>
      <c r="J30" s="17"/>
      <c r="K30" s="761"/>
      <c r="L30" s="476"/>
      <c r="M30" s="17"/>
      <c r="N30" s="17"/>
    </row>
    <row r="31" spans="1:14" ht="13.5" x14ac:dyDescent="0.25">
      <c r="A31" s="214" t="s">
        <v>535</v>
      </c>
      <c r="B31" s="210"/>
      <c r="C31" s="210"/>
      <c r="D31" s="210"/>
      <c r="E31" s="210"/>
      <c r="F31" s="210"/>
      <c r="G31" s="210"/>
      <c r="H31" s="214" t="s">
        <v>41</v>
      </c>
      <c r="J31" s="210"/>
      <c r="L31" s="477" t="s">
        <v>537</v>
      </c>
      <c r="M31" s="753"/>
      <c r="N31" s="753"/>
    </row>
  </sheetData>
  <sortState ref="B18:N25">
    <sortCondition descending="1" ref="J18:J25"/>
  </sortState>
  <mergeCells count="27"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  <mergeCell ref="A8:B8"/>
    <mergeCell ref="D8:K8"/>
    <mergeCell ref="L8:N8"/>
    <mergeCell ref="A9:B9"/>
    <mergeCell ref="C9:K9"/>
    <mergeCell ref="L9:N9"/>
    <mergeCell ref="B1:N1"/>
    <mergeCell ref="B2:N2"/>
    <mergeCell ref="B3:N3"/>
    <mergeCell ref="B4:N4"/>
    <mergeCell ref="A7:B7"/>
    <mergeCell ref="L7:N7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colBreaks count="1" manualBreakCount="1">
    <brk id="1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zoomScaleSheetLayoutView="100" workbookViewId="0">
      <selection activeCell="L9" sqref="L9:N9"/>
    </sheetView>
  </sheetViews>
  <sheetFormatPr defaultRowHeight="12.75" x14ac:dyDescent="0.2"/>
  <cols>
    <col min="2" max="2" width="9.140625" style="167" customWidth="1"/>
    <col min="4" max="4" width="6.5703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7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2</v>
      </c>
      <c r="M5" s="971"/>
      <c r="N5" s="971"/>
    </row>
    <row r="6" spans="1:14" ht="15.75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5.75" x14ac:dyDescent="0.25">
      <c r="A8" s="986">
        <v>82</v>
      </c>
      <c r="B8" s="986"/>
      <c r="C8" s="2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5.75" x14ac:dyDescent="0.25">
      <c r="A9" s="986"/>
      <c r="B9" s="986"/>
      <c r="C9" s="2"/>
      <c r="D9" s="980" t="s">
        <v>11</v>
      </c>
      <c r="E9" s="981"/>
      <c r="F9" s="981"/>
      <c r="G9" s="981"/>
      <c r="H9" s="981"/>
      <c r="I9" s="981"/>
      <c r="J9" s="981"/>
      <c r="K9" s="981"/>
      <c r="L9" s="4">
        <v>47</v>
      </c>
      <c r="M9" s="4">
        <v>55</v>
      </c>
      <c r="N9" s="4">
        <v>73</v>
      </c>
    </row>
    <row r="10" spans="1:14" ht="16.5" thickBot="1" x14ac:dyDescent="0.3">
      <c r="A10" s="5"/>
      <c r="B10" s="384"/>
      <c r="C10" s="2"/>
      <c r="D10" s="980" t="s">
        <v>196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5.75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12"/>
      <c r="M11" s="12"/>
      <c r="N11" s="12"/>
    </row>
    <row r="12" spans="1:14" ht="13.5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x14ac:dyDescent="0.2">
      <c r="A13" s="1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18</v>
      </c>
      <c r="G14" s="972" t="s">
        <v>19</v>
      </c>
      <c r="H14" s="973" t="s">
        <v>20</v>
      </c>
      <c r="I14" s="972" t="s">
        <v>21</v>
      </c>
      <c r="J14" s="972" t="s">
        <v>22</v>
      </c>
      <c r="K14" s="972" t="s">
        <v>23</v>
      </c>
      <c r="L14" s="972" t="s">
        <v>24</v>
      </c>
      <c r="M14" s="972" t="s">
        <v>25</v>
      </c>
      <c r="N14" s="972"/>
    </row>
    <row r="15" spans="1:14" x14ac:dyDescent="0.2">
      <c r="A15" s="972"/>
      <c r="B15" s="973"/>
      <c r="C15" s="973"/>
      <c r="D15" s="973"/>
      <c r="E15" s="973"/>
      <c r="F15" s="973"/>
      <c r="G15" s="973"/>
      <c r="H15" s="979"/>
      <c r="I15" s="973"/>
      <c r="J15" s="973"/>
      <c r="K15" s="973"/>
      <c r="L15" s="973"/>
      <c r="M15" s="973"/>
      <c r="N15" s="973"/>
    </row>
    <row r="16" spans="1:14" ht="15" x14ac:dyDescent="0.2">
      <c r="A16" s="18">
        <v>1</v>
      </c>
      <c r="B16" s="487" t="s">
        <v>72</v>
      </c>
      <c r="C16" s="499"/>
      <c r="D16" s="500"/>
      <c r="E16" s="496">
        <v>1985</v>
      </c>
      <c r="F16" s="496" t="s">
        <v>10</v>
      </c>
      <c r="G16" s="469" t="s">
        <v>35</v>
      </c>
      <c r="H16" s="26"/>
      <c r="I16" s="470">
        <v>77.5</v>
      </c>
      <c r="J16" s="471">
        <v>83</v>
      </c>
      <c r="K16" s="471">
        <v>20</v>
      </c>
      <c r="L16" s="26" t="s">
        <v>10</v>
      </c>
      <c r="M16" s="334" t="s">
        <v>423</v>
      </c>
      <c r="N16" s="27"/>
    </row>
    <row r="17" spans="1:14" s="24" customFormat="1" ht="15" customHeight="1" x14ac:dyDescent="0.25">
      <c r="A17" s="18">
        <f>A16+1</f>
        <v>2</v>
      </c>
      <c r="B17" s="489" t="s">
        <v>174</v>
      </c>
      <c r="C17" s="478"/>
      <c r="D17" s="479"/>
      <c r="E17" s="480">
        <v>1989</v>
      </c>
      <c r="F17" s="469" t="s">
        <v>9</v>
      </c>
      <c r="G17" s="469" t="s">
        <v>32</v>
      </c>
      <c r="H17" s="275" t="s">
        <v>30</v>
      </c>
      <c r="I17" s="468">
        <v>77.8</v>
      </c>
      <c r="J17" s="469">
        <v>76</v>
      </c>
      <c r="K17" s="469">
        <v>18</v>
      </c>
      <c r="L17" s="26" t="s">
        <v>444</v>
      </c>
      <c r="M17" s="489" t="s">
        <v>60</v>
      </c>
      <c r="N17" s="44"/>
    </row>
    <row r="18" spans="1:14" s="24" customFormat="1" ht="28.5" customHeight="1" x14ac:dyDescent="0.25">
      <c r="A18" s="18">
        <f>A17+1</f>
        <v>3</v>
      </c>
      <c r="B18" s="387" t="s">
        <v>178</v>
      </c>
      <c r="C18" s="225"/>
      <c r="D18" s="226"/>
      <c r="E18" s="227">
        <v>1994</v>
      </c>
      <c r="F18" s="228" t="s">
        <v>10</v>
      </c>
      <c r="G18" s="231" t="s">
        <v>145</v>
      </c>
      <c r="H18" s="278" t="s">
        <v>146</v>
      </c>
      <c r="I18" s="230">
        <v>78</v>
      </c>
      <c r="J18" s="231">
        <v>76</v>
      </c>
      <c r="K18" s="231">
        <v>16</v>
      </c>
      <c r="L18" s="26" t="s">
        <v>10</v>
      </c>
      <c r="M18" s="224" t="s">
        <v>179</v>
      </c>
      <c r="N18" s="233"/>
    </row>
    <row r="19" spans="1:14" s="24" customFormat="1" ht="15" x14ac:dyDescent="0.25">
      <c r="A19" s="18">
        <f t="shared" ref="A19:A28" si="0">A18+1</f>
        <v>4</v>
      </c>
      <c r="B19" s="387" t="s">
        <v>180</v>
      </c>
      <c r="C19" s="225"/>
      <c r="D19" s="226"/>
      <c r="E19" s="227">
        <v>1984</v>
      </c>
      <c r="F19" s="228" t="s">
        <v>9</v>
      </c>
      <c r="G19" s="231" t="s">
        <v>86</v>
      </c>
      <c r="H19" s="231"/>
      <c r="I19" s="230">
        <v>78</v>
      </c>
      <c r="J19" s="231">
        <v>72</v>
      </c>
      <c r="K19" s="231">
        <v>15</v>
      </c>
      <c r="L19" s="228" t="s">
        <v>9</v>
      </c>
      <c r="M19" s="224" t="s">
        <v>181</v>
      </c>
      <c r="N19" s="233"/>
    </row>
    <row r="20" spans="1:14" s="24" customFormat="1" ht="12.75" customHeight="1" x14ac:dyDescent="0.25">
      <c r="A20" s="18">
        <f t="shared" si="0"/>
        <v>5</v>
      </c>
      <c r="B20" s="489" t="s">
        <v>185</v>
      </c>
      <c r="C20" s="478"/>
      <c r="D20" s="479"/>
      <c r="E20" s="480">
        <v>1997</v>
      </c>
      <c r="F20" s="469" t="s">
        <v>8</v>
      </c>
      <c r="G20" s="469" t="s">
        <v>35</v>
      </c>
      <c r="H20" s="53" t="s">
        <v>186</v>
      </c>
      <c r="I20" s="468">
        <v>77.7</v>
      </c>
      <c r="J20" s="469">
        <v>61</v>
      </c>
      <c r="K20" s="469">
        <v>13</v>
      </c>
      <c r="L20" s="228" t="s">
        <v>443</v>
      </c>
      <c r="M20" s="489" t="s">
        <v>187</v>
      </c>
      <c r="N20" s="44"/>
    </row>
    <row r="21" spans="1:14" s="24" customFormat="1" ht="12.75" customHeight="1" x14ac:dyDescent="0.25">
      <c r="A21" s="18">
        <f t="shared" si="0"/>
        <v>6</v>
      </c>
      <c r="B21" s="489" t="s">
        <v>182</v>
      </c>
      <c r="C21" s="478"/>
      <c r="D21" s="479"/>
      <c r="E21" s="480">
        <v>1994</v>
      </c>
      <c r="F21" s="469" t="s">
        <v>9</v>
      </c>
      <c r="G21" s="469" t="s">
        <v>27</v>
      </c>
      <c r="H21" s="53"/>
      <c r="I21" s="468">
        <v>77.75</v>
      </c>
      <c r="J21" s="469">
        <v>61</v>
      </c>
      <c r="K21" s="469">
        <v>14</v>
      </c>
      <c r="L21" s="228" t="s">
        <v>9</v>
      </c>
      <c r="M21" s="489" t="s">
        <v>183</v>
      </c>
      <c r="N21" s="44"/>
    </row>
    <row r="22" spans="1:14" s="24" customFormat="1" ht="21" customHeight="1" x14ac:dyDescent="0.25">
      <c r="A22" s="18">
        <f t="shared" si="0"/>
        <v>7</v>
      </c>
      <c r="B22" s="387" t="s">
        <v>184</v>
      </c>
      <c r="C22" s="225"/>
      <c r="D22" s="226"/>
      <c r="E22" s="227">
        <v>1984</v>
      </c>
      <c r="F22" s="228" t="s">
        <v>10</v>
      </c>
      <c r="G22" s="228" t="s">
        <v>120</v>
      </c>
      <c r="H22" s="216" t="s">
        <v>121</v>
      </c>
      <c r="I22" s="230">
        <v>75.05</v>
      </c>
      <c r="J22" s="231">
        <v>58</v>
      </c>
      <c r="K22" s="231">
        <v>12</v>
      </c>
      <c r="L22" s="228" t="s">
        <v>9</v>
      </c>
      <c r="M22" s="248" t="s">
        <v>29</v>
      </c>
      <c r="N22" s="233"/>
    </row>
    <row r="23" spans="1:14" s="24" customFormat="1" ht="15" x14ac:dyDescent="0.25">
      <c r="A23" s="18">
        <f t="shared" si="0"/>
        <v>8</v>
      </c>
      <c r="B23" s="387" t="s">
        <v>191</v>
      </c>
      <c r="C23" s="225"/>
      <c r="D23" s="226"/>
      <c r="E23" s="227">
        <v>1996</v>
      </c>
      <c r="F23" s="228" t="s">
        <v>9</v>
      </c>
      <c r="G23" s="231" t="s">
        <v>122</v>
      </c>
      <c r="H23" s="235" t="s">
        <v>123</v>
      </c>
      <c r="I23" s="230">
        <v>76.599999999999994</v>
      </c>
      <c r="J23" s="231">
        <v>58</v>
      </c>
      <c r="K23" s="231">
        <v>11</v>
      </c>
      <c r="L23" s="228" t="s">
        <v>9</v>
      </c>
      <c r="M23" s="224" t="s">
        <v>436</v>
      </c>
      <c r="N23" s="233"/>
    </row>
    <row r="24" spans="1:14" s="24" customFormat="1" ht="15" x14ac:dyDescent="0.25">
      <c r="A24" s="18">
        <f t="shared" si="0"/>
        <v>9</v>
      </c>
      <c r="B24" s="387" t="s">
        <v>396</v>
      </c>
      <c r="C24" s="225"/>
      <c r="D24" s="226"/>
      <c r="E24" s="227">
        <v>1995</v>
      </c>
      <c r="F24" s="228" t="s">
        <v>8</v>
      </c>
      <c r="G24" s="231" t="s">
        <v>152</v>
      </c>
      <c r="H24" s="380" t="s">
        <v>203</v>
      </c>
      <c r="I24" s="230">
        <v>77.55</v>
      </c>
      <c r="J24" s="161">
        <v>58</v>
      </c>
      <c r="K24" s="466">
        <v>10</v>
      </c>
      <c r="L24" s="228" t="s">
        <v>443</v>
      </c>
      <c r="M24" s="224" t="s">
        <v>397</v>
      </c>
      <c r="N24" s="233"/>
    </row>
    <row r="25" spans="1:14" s="24" customFormat="1" ht="15" x14ac:dyDescent="0.25">
      <c r="A25" s="18">
        <f t="shared" si="0"/>
        <v>10</v>
      </c>
      <c r="B25" s="387" t="s">
        <v>192</v>
      </c>
      <c r="C25" s="308"/>
      <c r="D25" s="309"/>
      <c r="E25" s="362">
        <v>1991</v>
      </c>
      <c r="F25" s="362" t="s">
        <v>8</v>
      </c>
      <c r="G25" s="466" t="s">
        <v>33</v>
      </c>
      <c r="H25" s="238"/>
      <c r="I25" s="465">
        <v>78</v>
      </c>
      <c r="J25" s="466">
        <v>56</v>
      </c>
      <c r="K25" s="466">
        <v>9</v>
      </c>
      <c r="L25" s="228" t="s">
        <v>443</v>
      </c>
      <c r="M25" s="387" t="s">
        <v>193</v>
      </c>
      <c r="N25" s="223"/>
    </row>
    <row r="26" spans="1:14" s="24" customFormat="1" ht="24" x14ac:dyDescent="0.2">
      <c r="A26" s="18">
        <f t="shared" si="0"/>
        <v>11</v>
      </c>
      <c r="B26" s="389" t="s">
        <v>175</v>
      </c>
      <c r="C26" s="276"/>
      <c r="D26" s="277"/>
      <c r="E26" s="227">
        <v>1997</v>
      </c>
      <c r="F26" s="231" t="s">
        <v>9</v>
      </c>
      <c r="G26" s="502" t="s">
        <v>483</v>
      </c>
      <c r="H26" s="231" t="s">
        <v>31</v>
      </c>
      <c r="I26" s="230">
        <v>75.7</v>
      </c>
      <c r="J26" s="231">
        <v>50</v>
      </c>
      <c r="K26" s="231">
        <v>8</v>
      </c>
      <c r="L26" s="238" t="s">
        <v>8</v>
      </c>
      <c r="M26" s="262" t="s">
        <v>177</v>
      </c>
      <c r="N26" s="279"/>
    </row>
    <row r="27" spans="1:14" s="24" customFormat="1" ht="15" x14ac:dyDescent="0.25">
      <c r="A27" s="18">
        <f t="shared" si="0"/>
        <v>12</v>
      </c>
      <c r="B27" s="387" t="s">
        <v>309</v>
      </c>
      <c r="C27" s="432"/>
      <c r="D27" s="501"/>
      <c r="E27" s="362">
        <v>2000</v>
      </c>
      <c r="F27" s="362" t="s">
        <v>8</v>
      </c>
      <c r="G27" s="231" t="s">
        <v>122</v>
      </c>
      <c r="H27" s="220" t="s">
        <v>310</v>
      </c>
      <c r="I27" s="465">
        <v>76.900000000000006</v>
      </c>
      <c r="J27" s="161">
        <v>48</v>
      </c>
      <c r="K27" s="466">
        <v>7</v>
      </c>
      <c r="L27" s="238" t="s">
        <v>8</v>
      </c>
      <c r="M27" s="224" t="s">
        <v>311</v>
      </c>
      <c r="N27" s="233"/>
    </row>
    <row r="28" spans="1:14" s="24" customFormat="1" ht="15" x14ac:dyDescent="0.25">
      <c r="A28" s="18">
        <f t="shared" si="0"/>
        <v>13</v>
      </c>
      <c r="B28" s="387" t="s">
        <v>188</v>
      </c>
      <c r="C28" s="225"/>
      <c r="D28" s="226"/>
      <c r="E28" s="227">
        <v>1992</v>
      </c>
      <c r="F28" s="228" t="s">
        <v>9</v>
      </c>
      <c r="G28" s="228" t="s">
        <v>189</v>
      </c>
      <c r="H28" s="216"/>
      <c r="I28" s="230">
        <v>76.099999999999994</v>
      </c>
      <c r="J28" s="231">
        <v>43</v>
      </c>
      <c r="K28" s="231">
        <v>6</v>
      </c>
      <c r="L28" s="231"/>
      <c r="M28" s="248" t="s">
        <v>190</v>
      </c>
      <c r="N28" s="233"/>
    </row>
    <row r="29" spans="1:14" x14ac:dyDescent="0.2">
      <c r="A29" s="17"/>
      <c r="B29" s="21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s="498" customFormat="1" x14ac:dyDescent="0.2">
      <c r="A30" s="993" t="s">
        <v>482</v>
      </c>
      <c r="B30" s="994"/>
      <c r="C30" s="994"/>
      <c r="D30" s="994"/>
      <c r="E30" s="994"/>
      <c r="F30" s="994"/>
      <c r="G30" s="994"/>
      <c r="H30" s="994"/>
      <c r="I30" s="994"/>
      <c r="J30" s="994"/>
      <c r="K30" s="994"/>
      <c r="L30" s="994"/>
      <c r="M30" s="994"/>
      <c r="N30" s="994"/>
    </row>
    <row r="31" spans="1:14" x14ac:dyDescent="0.2">
      <c r="A31" s="17"/>
      <c r="B31" s="215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13.5" x14ac:dyDescent="0.25">
      <c r="A32" s="214" t="s">
        <v>480</v>
      </c>
      <c r="B32" s="210"/>
      <c r="C32" s="210"/>
      <c r="D32" s="210"/>
      <c r="E32" s="210"/>
      <c r="F32" s="210"/>
      <c r="G32" s="210"/>
      <c r="H32" s="214" t="s">
        <v>40</v>
      </c>
      <c r="J32" s="17"/>
      <c r="K32" s="205"/>
      <c r="L32" s="475" t="s">
        <v>479</v>
      </c>
      <c r="N32" s="205"/>
    </row>
    <row r="33" spans="1:14" ht="13.5" x14ac:dyDescent="0.25">
      <c r="A33" s="214"/>
      <c r="B33" s="383"/>
      <c r="C33" s="205"/>
      <c r="D33" s="17"/>
      <c r="E33" s="17"/>
      <c r="F33" s="17"/>
      <c r="G33" s="17"/>
      <c r="H33" s="214"/>
      <c r="J33" s="17"/>
      <c r="K33" s="205"/>
      <c r="L33" s="476"/>
      <c r="M33" s="17"/>
      <c r="N33" s="17"/>
    </row>
    <row r="34" spans="1:14" ht="13.5" x14ac:dyDescent="0.25">
      <c r="A34" s="214" t="s">
        <v>437</v>
      </c>
      <c r="B34" s="210"/>
      <c r="C34" s="210"/>
      <c r="D34" s="210"/>
      <c r="E34" s="210"/>
      <c r="F34" s="210"/>
      <c r="G34" s="210"/>
      <c r="H34" s="214" t="s">
        <v>41</v>
      </c>
      <c r="J34" s="210"/>
      <c r="L34" s="477" t="s">
        <v>481</v>
      </c>
      <c r="M34" s="205"/>
      <c r="N34" s="205"/>
    </row>
  </sheetData>
  <mergeCells count="28">
    <mergeCell ref="A30:N30"/>
    <mergeCell ref="A8:B9"/>
    <mergeCell ref="D8:K8"/>
    <mergeCell ref="D9:K9"/>
    <mergeCell ref="D10:K10"/>
    <mergeCell ref="A14:A15"/>
    <mergeCell ref="B14:D15"/>
    <mergeCell ref="E14:E15"/>
    <mergeCell ref="F14:F15"/>
    <mergeCell ref="G14:G15"/>
    <mergeCell ref="H14:H15"/>
    <mergeCell ref="I14:I15"/>
    <mergeCell ref="A5:C5"/>
    <mergeCell ref="L5:N5"/>
    <mergeCell ref="A1:N1"/>
    <mergeCell ref="A2:N2"/>
    <mergeCell ref="A3:N3"/>
    <mergeCell ref="A4:N4"/>
    <mergeCell ref="L6:N6"/>
    <mergeCell ref="A7:B7"/>
    <mergeCell ref="C7:K7"/>
    <mergeCell ref="L7:N7"/>
    <mergeCell ref="J14:J15"/>
    <mergeCell ref="K14:K15"/>
    <mergeCell ref="A6:C6"/>
    <mergeCell ref="D6:K6"/>
    <mergeCell ref="L14:L15"/>
    <mergeCell ref="M14:N15"/>
  </mergeCells>
  <phoneticPr fontId="33" type="noConversion"/>
  <pageMargins left="0.7" right="0.7" top="0.75" bottom="0.75" header="0.3" footer="0.3"/>
  <pageSetup paperSize="9" scale="87" orientation="landscape" r:id="rId1"/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topLeftCell="A11" zoomScaleSheetLayoutView="100" workbookViewId="0">
      <selection activeCell="A18" sqref="A18:N30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42578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23.2851562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0"/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</row>
    <row r="6" spans="1:14" ht="28.15" customHeight="1" x14ac:dyDescent="0.2">
      <c r="A6" s="186"/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  <c r="M6" s="750"/>
      <c r="N6" s="750"/>
    </row>
    <row r="7" spans="1:14" ht="13.5" x14ac:dyDescent="0.25">
      <c r="A7" s="970" t="s">
        <v>681</v>
      </c>
      <c r="B7" s="970"/>
      <c r="C7" s="752"/>
      <c r="D7" s="1"/>
      <c r="E7" s="1"/>
      <c r="F7" s="1"/>
      <c r="G7" s="1"/>
      <c r="H7" s="1"/>
      <c r="I7" s="1"/>
      <c r="J7" s="1"/>
      <c r="K7" s="1"/>
      <c r="L7" s="971" t="s">
        <v>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985">
        <v>83</v>
      </c>
      <c r="B10" s="985"/>
      <c r="C10" s="751"/>
      <c r="D10" s="980" t="s">
        <v>533</v>
      </c>
      <c r="E10" s="981"/>
      <c r="F10" s="981"/>
      <c r="G10" s="981"/>
      <c r="H10" s="981"/>
      <c r="I10" s="981"/>
      <c r="J10" s="981"/>
      <c r="K10" s="981"/>
      <c r="L10" s="749" t="s">
        <v>8</v>
      </c>
      <c r="M10" s="749" t="s">
        <v>9</v>
      </c>
      <c r="N10" s="749" t="s">
        <v>10</v>
      </c>
    </row>
    <row r="11" spans="1:14" ht="15.75" x14ac:dyDescent="0.25">
      <c r="A11" s="985"/>
      <c r="B11" s="985"/>
      <c r="C11" s="751"/>
      <c r="D11" s="980" t="s">
        <v>11</v>
      </c>
      <c r="E11" s="981"/>
      <c r="F11" s="981"/>
      <c r="G11" s="981"/>
      <c r="H11" s="981"/>
      <c r="I11" s="981"/>
      <c r="J11" s="981"/>
      <c r="K11" s="981"/>
      <c r="L11" s="4">
        <v>47</v>
      </c>
      <c r="M11" s="4">
        <v>55</v>
      </c>
      <c r="N11" s="4">
        <v>73</v>
      </c>
    </row>
    <row r="12" spans="1:14" ht="16.5" thickBot="1" x14ac:dyDescent="0.3">
      <c r="A12" s="5"/>
      <c r="B12" s="384"/>
      <c r="C12" s="751"/>
      <c r="D12" s="980" t="s">
        <v>196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0"/>
      <c r="G13" s="750"/>
      <c r="H13" s="750"/>
      <c r="I13" s="750"/>
      <c r="J13" s="750"/>
      <c r="K13" s="750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0"/>
      <c r="G14" s="750"/>
      <c r="H14" s="750"/>
      <c r="I14" s="750"/>
      <c r="J14" s="750"/>
      <c r="K14" s="750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817" t="s">
        <v>686</v>
      </c>
      <c r="B18" s="387" t="s">
        <v>308</v>
      </c>
      <c r="C18" s="225"/>
      <c r="D18" s="226"/>
      <c r="E18" s="227">
        <v>1997</v>
      </c>
      <c r="F18" s="228" t="s">
        <v>10</v>
      </c>
      <c r="G18" s="231" t="s">
        <v>624</v>
      </c>
      <c r="H18" s="231"/>
      <c r="I18" s="230">
        <v>77.3</v>
      </c>
      <c r="J18" s="231">
        <v>84</v>
      </c>
      <c r="K18" s="231">
        <v>20</v>
      </c>
      <c r="L18" s="228" t="s">
        <v>10</v>
      </c>
      <c r="M18" s="224" t="s">
        <v>636</v>
      </c>
      <c r="N18" s="233"/>
    </row>
    <row r="19" spans="1:14" s="24" customFormat="1" ht="15" customHeight="1" x14ac:dyDescent="0.25">
      <c r="A19" s="817" t="s">
        <v>687</v>
      </c>
      <c r="B19" s="392" t="s">
        <v>626</v>
      </c>
      <c r="C19" s="302"/>
      <c r="D19" s="303"/>
      <c r="E19" s="809">
        <v>1994</v>
      </c>
      <c r="F19" s="578" t="s">
        <v>10</v>
      </c>
      <c r="G19" s="633" t="s">
        <v>145</v>
      </c>
      <c r="H19" s="471"/>
      <c r="I19" s="547">
        <v>77.7</v>
      </c>
      <c r="J19" s="633">
        <v>83</v>
      </c>
      <c r="K19" s="471">
        <v>18</v>
      </c>
      <c r="L19" s="228" t="s">
        <v>10</v>
      </c>
      <c r="M19" s="388" t="s">
        <v>627</v>
      </c>
      <c r="N19" s="803"/>
    </row>
    <row r="20" spans="1:14" s="24" customFormat="1" ht="15" customHeight="1" x14ac:dyDescent="0.25">
      <c r="A20" s="817" t="s">
        <v>688</v>
      </c>
      <c r="B20" s="487" t="s">
        <v>72</v>
      </c>
      <c r="C20" s="499"/>
      <c r="D20" s="500"/>
      <c r="E20" s="807">
        <v>1985</v>
      </c>
      <c r="F20" s="496" t="s">
        <v>10</v>
      </c>
      <c r="G20" s="633" t="s">
        <v>35</v>
      </c>
      <c r="H20" s="496"/>
      <c r="I20" s="547">
        <v>78</v>
      </c>
      <c r="J20" s="633">
        <v>81</v>
      </c>
      <c r="K20" s="471">
        <v>16</v>
      </c>
      <c r="L20" s="228" t="s">
        <v>10</v>
      </c>
      <c r="M20" s="388" t="s">
        <v>632</v>
      </c>
      <c r="N20" s="803"/>
    </row>
    <row r="21" spans="1:14" s="24" customFormat="1" ht="15" customHeight="1" x14ac:dyDescent="0.25">
      <c r="A21" s="817" t="s">
        <v>689</v>
      </c>
      <c r="B21" s="388" t="s">
        <v>174</v>
      </c>
      <c r="C21" s="242"/>
      <c r="D21" s="243"/>
      <c r="E21" s="263">
        <v>1989</v>
      </c>
      <c r="F21" s="244" t="s">
        <v>9</v>
      </c>
      <c r="G21" s="245" t="s">
        <v>32</v>
      </c>
      <c r="H21" s="245"/>
      <c r="I21" s="91">
        <v>77.7</v>
      </c>
      <c r="J21" s="245">
        <v>79</v>
      </c>
      <c r="K21" s="245">
        <v>15</v>
      </c>
      <c r="L21" s="228" t="s">
        <v>10</v>
      </c>
      <c r="M21" s="241" t="s">
        <v>629</v>
      </c>
      <c r="N21" s="246"/>
    </row>
    <row r="22" spans="1:14" s="24" customFormat="1" ht="15" customHeight="1" x14ac:dyDescent="0.25">
      <c r="A22" s="817" t="s">
        <v>690</v>
      </c>
      <c r="B22" s="909" t="s">
        <v>630</v>
      </c>
      <c r="C22" s="522"/>
      <c r="D22" s="523"/>
      <c r="E22" s="480">
        <v>1999</v>
      </c>
      <c r="F22" s="469" t="s">
        <v>9</v>
      </c>
      <c r="G22" s="469" t="s">
        <v>35</v>
      </c>
      <c r="H22" s="469"/>
      <c r="I22" s="468">
        <v>77.3</v>
      </c>
      <c r="J22" s="231">
        <v>67</v>
      </c>
      <c r="K22" s="471">
        <v>14</v>
      </c>
      <c r="L22" s="469" t="s">
        <v>9</v>
      </c>
      <c r="M22" s="909" t="s">
        <v>631</v>
      </c>
      <c r="N22" s="810"/>
    </row>
    <row r="23" spans="1:14" s="24" customFormat="1" ht="15" customHeight="1" x14ac:dyDescent="0.25">
      <c r="A23" s="817" t="s">
        <v>691</v>
      </c>
      <c r="B23" s="387" t="s">
        <v>628</v>
      </c>
      <c r="C23" s="225"/>
      <c r="D23" s="226"/>
      <c r="E23" s="227">
        <v>1975</v>
      </c>
      <c r="F23" s="228" t="s">
        <v>10</v>
      </c>
      <c r="G23" s="228" t="s">
        <v>594</v>
      </c>
      <c r="H23" s="161"/>
      <c r="I23" s="230">
        <v>78</v>
      </c>
      <c r="J23" s="231">
        <v>66</v>
      </c>
      <c r="K23" s="245">
        <v>13</v>
      </c>
      <c r="L23" s="469" t="s">
        <v>9</v>
      </c>
      <c r="M23" s="248" t="s">
        <v>606</v>
      </c>
      <c r="N23" s="233"/>
    </row>
    <row r="24" spans="1:14" s="24" customFormat="1" ht="15.75" customHeight="1" x14ac:dyDescent="0.25">
      <c r="A24" s="817" t="s">
        <v>692</v>
      </c>
      <c r="B24" s="908" t="s">
        <v>638</v>
      </c>
      <c r="C24" s="493"/>
      <c r="D24" s="811"/>
      <c r="E24" s="161">
        <v>1984</v>
      </c>
      <c r="F24" s="161" t="s">
        <v>10</v>
      </c>
      <c r="G24" s="244" t="s">
        <v>489</v>
      </c>
      <c r="H24" s="362"/>
      <c r="I24" s="465">
        <v>76.8</v>
      </c>
      <c r="J24" s="231">
        <v>63</v>
      </c>
      <c r="K24" s="471">
        <v>12</v>
      </c>
      <c r="L24" s="469" t="s">
        <v>9</v>
      </c>
      <c r="M24" s="388" t="s">
        <v>29</v>
      </c>
      <c r="N24" s="812"/>
    </row>
    <row r="25" spans="1:14" s="24" customFormat="1" ht="15.75" customHeight="1" x14ac:dyDescent="0.25">
      <c r="A25" s="817" t="s">
        <v>693</v>
      </c>
      <c r="B25" s="489" t="s">
        <v>191</v>
      </c>
      <c r="C25" s="478"/>
      <c r="D25" s="479"/>
      <c r="E25" s="480">
        <v>1996</v>
      </c>
      <c r="F25" s="505" t="s">
        <v>9</v>
      </c>
      <c r="G25" s="469" t="s">
        <v>594</v>
      </c>
      <c r="H25" s="469"/>
      <c r="I25" s="468">
        <v>77.05</v>
      </c>
      <c r="J25" s="469">
        <v>61</v>
      </c>
      <c r="K25" s="245">
        <v>11</v>
      </c>
      <c r="L25" s="469" t="s">
        <v>9</v>
      </c>
      <c r="M25" s="462" t="s">
        <v>595</v>
      </c>
      <c r="N25" s="802"/>
    </row>
    <row r="26" spans="1:14" s="24" customFormat="1" ht="15" x14ac:dyDescent="0.25">
      <c r="A26" s="817" t="s">
        <v>709</v>
      </c>
      <c r="B26" s="388" t="s">
        <v>635</v>
      </c>
      <c r="C26" s="242"/>
      <c r="D26" s="243"/>
      <c r="E26" s="263">
        <v>1994</v>
      </c>
      <c r="F26" s="244" t="s">
        <v>9</v>
      </c>
      <c r="G26" s="245" t="s">
        <v>27</v>
      </c>
      <c r="H26" s="245"/>
      <c r="I26" s="91">
        <v>77.900000000000006</v>
      </c>
      <c r="J26" s="231">
        <v>59</v>
      </c>
      <c r="K26" s="471">
        <v>10</v>
      </c>
      <c r="L26" s="469" t="s">
        <v>9</v>
      </c>
      <c r="M26" s="241" t="s">
        <v>183</v>
      </c>
      <c r="N26" s="246"/>
    </row>
    <row r="27" spans="1:14" s="24" customFormat="1" ht="15" x14ac:dyDescent="0.25">
      <c r="A27" s="817" t="s">
        <v>710</v>
      </c>
      <c r="B27" s="388" t="s">
        <v>637</v>
      </c>
      <c r="C27" s="242"/>
      <c r="D27" s="243"/>
      <c r="E27" s="397">
        <v>1991</v>
      </c>
      <c r="F27" s="244" t="s">
        <v>9</v>
      </c>
      <c r="G27" s="399" t="s">
        <v>33</v>
      </c>
      <c r="H27" s="245"/>
      <c r="I27" s="398">
        <v>76.400000000000006</v>
      </c>
      <c r="J27" s="231">
        <v>56</v>
      </c>
      <c r="K27" s="245">
        <v>9</v>
      </c>
      <c r="L27" s="469" t="s">
        <v>9</v>
      </c>
      <c r="M27" s="241" t="s">
        <v>34</v>
      </c>
      <c r="N27" s="246"/>
    </row>
    <row r="28" spans="1:14" s="24" customFormat="1" ht="15" x14ac:dyDescent="0.25">
      <c r="A28" s="817" t="s">
        <v>711</v>
      </c>
      <c r="B28" s="534" t="s">
        <v>633</v>
      </c>
      <c r="C28" s="718"/>
      <c r="D28" s="813"/>
      <c r="E28" s="497">
        <v>1994</v>
      </c>
      <c r="F28" s="509" t="s">
        <v>9</v>
      </c>
      <c r="G28" s="474" t="s">
        <v>35</v>
      </c>
      <c r="H28" s="473"/>
      <c r="I28" s="538">
        <v>77.8</v>
      </c>
      <c r="J28" s="231">
        <v>56</v>
      </c>
      <c r="K28" s="471">
        <v>8</v>
      </c>
      <c r="L28" s="469" t="s">
        <v>9</v>
      </c>
      <c r="M28" s="464" t="s">
        <v>210</v>
      </c>
      <c r="N28" s="564"/>
    </row>
    <row r="29" spans="1:14" s="24" customFormat="1" ht="15" x14ac:dyDescent="0.25">
      <c r="A29" s="817" t="s">
        <v>712</v>
      </c>
      <c r="B29" s="388" t="s">
        <v>677</v>
      </c>
      <c r="C29" s="242"/>
      <c r="D29" s="243"/>
      <c r="E29" s="397">
        <v>1991</v>
      </c>
      <c r="F29" s="244" t="s">
        <v>9</v>
      </c>
      <c r="G29" s="399" t="s">
        <v>292</v>
      </c>
      <c r="H29" s="245"/>
      <c r="I29" s="398">
        <v>77.900000000000006</v>
      </c>
      <c r="J29" s="231">
        <v>42</v>
      </c>
      <c r="K29" s="245">
        <v>7</v>
      </c>
      <c r="L29" s="473"/>
      <c r="M29" s="241" t="s">
        <v>678</v>
      </c>
      <c r="N29" s="246"/>
    </row>
    <row r="30" spans="1:14" s="24" customFormat="1" ht="15" x14ac:dyDescent="0.25">
      <c r="A30" s="817" t="s">
        <v>716</v>
      </c>
      <c r="B30" s="388" t="s">
        <v>208</v>
      </c>
      <c r="C30" s="242"/>
      <c r="D30" s="243"/>
      <c r="E30" s="263">
        <v>1987</v>
      </c>
      <c r="F30" s="244" t="s">
        <v>10</v>
      </c>
      <c r="G30" s="399" t="s">
        <v>565</v>
      </c>
      <c r="H30" s="245"/>
      <c r="I30" s="91">
        <v>77.650000000000006</v>
      </c>
      <c r="J30" s="231">
        <v>37</v>
      </c>
      <c r="K30" s="471">
        <v>6</v>
      </c>
      <c r="L30" s="473"/>
      <c r="M30" s="241" t="s">
        <v>634</v>
      </c>
      <c r="N30" s="246"/>
    </row>
    <row r="31" spans="1:14" s="24" customFormat="1" ht="15" x14ac:dyDescent="0.25">
      <c r="A31" s="814"/>
      <c r="B31" s="183"/>
      <c r="C31" s="431"/>
      <c r="D31" s="431"/>
      <c r="E31" s="436"/>
      <c r="F31" s="437"/>
      <c r="G31" s="326"/>
      <c r="H31" s="326"/>
      <c r="I31" s="439"/>
      <c r="J31" s="326"/>
      <c r="K31" s="789"/>
      <c r="L31" s="815"/>
      <c r="M31" s="270"/>
      <c r="N31" s="270"/>
    </row>
    <row r="32" spans="1:14" s="24" customFormat="1" ht="15.75" x14ac:dyDescent="0.25">
      <c r="A32" s="814"/>
      <c r="B32" s="791" t="s">
        <v>717</v>
      </c>
      <c r="C32" s="792"/>
      <c r="D32" s="792"/>
      <c r="E32" s="793"/>
      <c r="F32" s="794"/>
      <c r="G32" s="795"/>
      <c r="H32" s="326"/>
      <c r="I32" s="439"/>
      <c r="J32" s="326"/>
      <c r="K32" s="789"/>
      <c r="L32" s="815"/>
      <c r="M32" s="270"/>
      <c r="N32" s="270"/>
    </row>
    <row r="33" spans="1:14" x14ac:dyDescent="0.2">
      <c r="A33" s="17"/>
      <c r="B33" s="215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3.5" x14ac:dyDescent="0.25">
      <c r="A34" s="214" t="s">
        <v>534</v>
      </c>
      <c r="B34" s="210"/>
      <c r="C34" s="210"/>
      <c r="D34" s="210"/>
      <c r="E34" s="210"/>
      <c r="F34" s="210"/>
      <c r="G34" s="210"/>
      <c r="H34" s="214" t="s">
        <v>40</v>
      </c>
      <c r="J34" s="17"/>
      <c r="K34" s="761"/>
      <c r="L34" s="475" t="s">
        <v>536</v>
      </c>
      <c r="N34" s="753"/>
    </row>
    <row r="35" spans="1:14" ht="13.5" x14ac:dyDescent="0.25">
      <c r="A35" s="214"/>
      <c r="B35" s="383"/>
      <c r="C35" s="761"/>
      <c r="D35" s="17"/>
      <c r="E35" s="17"/>
      <c r="F35" s="17"/>
      <c r="G35" s="17"/>
      <c r="H35" s="214"/>
      <c r="J35" s="17"/>
      <c r="K35" s="761"/>
      <c r="L35" s="476"/>
      <c r="M35" s="17"/>
      <c r="N35" s="17"/>
    </row>
    <row r="36" spans="1:14" ht="13.5" x14ac:dyDescent="0.25">
      <c r="A36" s="214" t="s">
        <v>535</v>
      </c>
      <c r="B36" s="210"/>
      <c r="C36" s="210"/>
      <c r="D36" s="210"/>
      <c r="E36" s="210"/>
      <c r="F36" s="210"/>
      <c r="G36" s="210"/>
      <c r="H36" s="214" t="s">
        <v>41</v>
      </c>
      <c r="J36" s="210"/>
      <c r="L36" s="477" t="s">
        <v>537</v>
      </c>
      <c r="M36" s="753"/>
      <c r="N36" s="753"/>
    </row>
  </sheetData>
  <sortState ref="B18:N30">
    <sortCondition descending="1" ref="J18:J30"/>
  </sortState>
  <mergeCells count="27"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  <mergeCell ref="A8:B8"/>
    <mergeCell ref="D8:K8"/>
    <mergeCell ref="L8:N8"/>
    <mergeCell ref="A9:B9"/>
    <mergeCell ref="C9:K9"/>
    <mergeCell ref="L9:N9"/>
    <mergeCell ref="B1:N1"/>
    <mergeCell ref="B2:N2"/>
    <mergeCell ref="B3:N3"/>
    <mergeCell ref="B4:N4"/>
    <mergeCell ref="A7:B7"/>
    <mergeCell ref="L7:N7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  <colBreaks count="1" manualBreakCount="1">
    <brk id="1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zoomScaleSheetLayoutView="100" workbookViewId="0">
      <selection activeCell="L9" sqref="L9:N9"/>
    </sheetView>
  </sheetViews>
  <sheetFormatPr defaultRowHeight="12.75" x14ac:dyDescent="0.2"/>
  <cols>
    <col min="2" max="2" width="9.140625" style="167" customWidth="1"/>
    <col min="4" max="4" width="6.5703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7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2</v>
      </c>
      <c r="M5" s="971"/>
      <c r="N5" s="971"/>
    </row>
    <row r="6" spans="1:14" ht="15.75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5.75" x14ac:dyDescent="0.25">
      <c r="A8" s="986">
        <v>91</v>
      </c>
      <c r="B8" s="986"/>
      <c r="C8" s="434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5.75" x14ac:dyDescent="0.25">
      <c r="A9" s="986"/>
      <c r="B9" s="986"/>
      <c r="C9" s="434"/>
      <c r="D9" s="980" t="s">
        <v>11</v>
      </c>
      <c r="E9" s="981"/>
      <c r="F9" s="981"/>
      <c r="G9" s="981"/>
      <c r="H9" s="981"/>
      <c r="I9" s="981"/>
      <c r="J9" s="981"/>
      <c r="K9" s="981"/>
      <c r="L9" s="4">
        <v>52</v>
      </c>
      <c r="M9" s="4">
        <v>58</v>
      </c>
      <c r="N9" s="4">
        <v>78</v>
      </c>
    </row>
    <row r="10" spans="1:14" ht="16.5" thickBot="1" x14ac:dyDescent="0.3">
      <c r="A10" s="5"/>
      <c r="B10" s="384"/>
      <c r="C10" s="434"/>
      <c r="D10" s="980" t="s">
        <v>197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5.75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12"/>
      <c r="M11" s="12"/>
      <c r="N11" s="12"/>
    </row>
    <row r="12" spans="1:14" ht="13.5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x14ac:dyDescent="0.2">
      <c r="A13" s="1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18</v>
      </c>
      <c r="G14" s="972" t="s">
        <v>19</v>
      </c>
      <c r="H14" s="973" t="s">
        <v>20</v>
      </c>
      <c r="I14" s="972" t="s">
        <v>21</v>
      </c>
      <c r="J14" s="972" t="s">
        <v>22</v>
      </c>
      <c r="K14" s="972" t="s">
        <v>23</v>
      </c>
      <c r="L14" s="972" t="s">
        <v>24</v>
      </c>
      <c r="M14" s="972" t="s">
        <v>25</v>
      </c>
      <c r="N14" s="972"/>
    </row>
    <row r="15" spans="1:14" x14ac:dyDescent="0.2">
      <c r="A15" s="972"/>
      <c r="B15" s="973"/>
      <c r="C15" s="973"/>
      <c r="D15" s="973"/>
      <c r="E15" s="973"/>
      <c r="F15" s="973"/>
      <c r="G15" s="973"/>
      <c r="H15" s="979"/>
      <c r="I15" s="973"/>
      <c r="J15" s="973"/>
      <c r="K15" s="973"/>
      <c r="L15" s="973"/>
      <c r="M15" s="973"/>
      <c r="N15" s="973"/>
    </row>
    <row r="16" spans="1:14" ht="22.5" x14ac:dyDescent="0.2">
      <c r="A16" s="18">
        <v>1</v>
      </c>
      <c r="B16" s="389" t="s">
        <v>198</v>
      </c>
      <c r="C16" s="276"/>
      <c r="D16" s="277"/>
      <c r="E16" s="289">
        <v>1998</v>
      </c>
      <c r="F16" s="231" t="s">
        <v>9</v>
      </c>
      <c r="G16" s="231" t="s">
        <v>199</v>
      </c>
      <c r="H16" s="311" t="s">
        <v>200</v>
      </c>
      <c r="I16" s="91">
        <v>85</v>
      </c>
      <c r="J16" s="245">
        <v>87</v>
      </c>
      <c r="K16" s="245">
        <v>20</v>
      </c>
      <c r="L16" s="53" t="s">
        <v>10</v>
      </c>
      <c r="M16" s="322" t="s">
        <v>201</v>
      </c>
      <c r="N16" s="418"/>
    </row>
    <row r="17" spans="1:14" s="24" customFormat="1" ht="15" customHeight="1" x14ac:dyDescent="0.25">
      <c r="A17" s="164">
        <f t="shared" ref="A17:A28" si="0">A16+1</f>
        <v>2</v>
      </c>
      <c r="B17" s="390" t="s">
        <v>66</v>
      </c>
      <c r="C17" s="258"/>
      <c r="D17" s="259"/>
      <c r="E17" s="283">
        <v>1993</v>
      </c>
      <c r="F17" s="228" t="s">
        <v>9</v>
      </c>
      <c r="G17" s="245" t="s">
        <v>417</v>
      </c>
      <c r="H17" s="238" t="s">
        <v>31</v>
      </c>
      <c r="I17" s="465">
        <v>83.1</v>
      </c>
      <c r="J17" s="466">
        <v>76</v>
      </c>
      <c r="K17" s="466">
        <v>18</v>
      </c>
      <c r="L17" s="228" t="s">
        <v>9</v>
      </c>
      <c r="M17" s="388" t="s">
        <v>418</v>
      </c>
      <c r="N17" s="223"/>
    </row>
    <row r="18" spans="1:14" s="24" customFormat="1" ht="12.75" customHeight="1" x14ac:dyDescent="0.25">
      <c r="A18" s="18">
        <f t="shared" si="0"/>
        <v>3</v>
      </c>
      <c r="B18" s="387" t="s">
        <v>202</v>
      </c>
      <c r="C18" s="225"/>
      <c r="D18" s="226"/>
      <c r="E18" s="227">
        <v>1993</v>
      </c>
      <c r="F18" s="228" t="s">
        <v>9</v>
      </c>
      <c r="G18" s="294" t="s">
        <v>152</v>
      </c>
      <c r="H18" s="282" t="s">
        <v>203</v>
      </c>
      <c r="I18" s="230">
        <v>82.55</v>
      </c>
      <c r="J18" s="231">
        <v>73</v>
      </c>
      <c r="K18" s="231">
        <v>16</v>
      </c>
      <c r="L18" s="228" t="s">
        <v>9</v>
      </c>
      <c r="M18" s="224" t="s">
        <v>204</v>
      </c>
      <c r="N18" s="233"/>
    </row>
    <row r="19" spans="1:14" s="24" customFormat="1" ht="15" x14ac:dyDescent="0.25">
      <c r="A19" s="18">
        <f t="shared" si="0"/>
        <v>4</v>
      </c>
      <c r="B19" s="488" t="s">
        <v>73</v>
      </c>
      <c r="C19" s="267"/>
      <c r="D19" s="268"/>
      <c r="E19" s="480">
        <v>1989</v>
      </c>
      <c r="F19" s="469" t="s">
        <v>10</v>
      </c>
      <c r="G19" s="53" t="s">
        <v>35</v>
      </c>
      <c r="H19" s="53"/>
      <c r="I19" s="468">
        <v>80.3</v>
      </c>
      <c r="J19" s="469">
        <v>72</v>
      </c>
      <c r="K19" s="469">
        <v>15</v>
      </c>
      <c r="L19" s="228" t="s">
        <v>9</v>
      </c>
      <c r="M19" s="488" t="s">
        <v>210</v>
      </c>
      <c r="N19" s="55"/>
    </row>
    <row r="20" spans="1:14" s="24" customFormat="1" ht="12.75" customHeight="1" x14ac:dyDescent="0.25">
      <c r="A20" s="18">
        <f t="shared" si="0"/>
        <v>5</v>
      </c>
      <c r="B20" s="387" t="s">
        <v>208</v>
      </c>
      <c r="C20" s="225"/>
      <c r="D20" s="226"/>
      <c r="E20" s="227">
        <v>1987</v>
      </c>
      <c r="F20" s="228" t="s">
        <v>10</v>
      </c>
      <c r="G20" s="231" t="s">
        <v>86</v>
      </c>
      <c r="H20" s="234" t="s">
        <v>31</v>
      </c>
      <c r="I20" s="230">
        <v>80.5</v>
      </c>
      <c r="J20" s="231">
        <v>71</v>
      </c>
      <c r="K20" s="231">
        <v>14</v>
      </c>
      <c r="L20" s="228" t="s">
        <v>9</v>
      </c>
      <c r="M20" s="224" t="s">
        <v>209</v>
      </c>
      <c r="N20" s="233"/>
    </row>
    <row r="21" spans="1:14" s="24" customFormat="1" ht="22.5" customHeight="1" x14ac:dyDescent="0.25">
      <c r="A21" s="18">
        <f t="shared" si="0"/>
        <v>6</v>
      </c>
      <c r="B21" s="387" t="s">
        <v>398</v>
      </c>
      <c r="C21" s="225"/>
      <c r="D21" s="226"/>
      <c r="E21" s="227">
        <v>1988</v>
      </c>
      <c r="F21" s="228" t="s">
        <v>9</v>
      </c>
      <c r="G21" s="244" t="s">
        <v>120</v>
      </c>
      <c r="H21" s="281" t="s">
        <v>121</v>
      </c>
      <c r="I21" s="230">
        <v>82.55</v>
      </c>
      <c r="J21" s="161">
        <v>67</v>
      </c>
      <c r="K21" s="231">
        <v>13</v>
      </c>
      <c r="L21" s="228" t="s">
        <v>9</v>
      </c>
      <c r="M21" s="342" t="s">
        <v>29</v>
      </c>
      <c r="N21" s="419"/>
    </row>
    <row r="22" spans="1:14" s="24" customFormat="1" ht="15.75" customHeight="1" x14ac:dyDescent="0.25">
      <c r="A22" s="18">
        <f t="shared" si="0"/>
        <v>7</v>
      </c>
      <c r="B22" s="387" t="s">
        <v>213</v>
      </c>
      <c r="C22" s="225"/>
      <c r="D22" s="226"/>
      <c r="E22" s="227">
        <v>1998</v>
      </c>
      <c r="F22" s="228" t="s">
        <v>8</v>
      </c>
      <c r="G22" s="231" t="s">
        <v>36</v>
      </c>
      <c r="H22" s="234" t="s">
        <v>37</v>
      </c>
      <c r="I22" s="230">
        <v>84.45</v>
      </c>
      <c r="J22" s="231">
        <v>65</v>
      </c>
      <c r="K22" s="231">
        <v>12</v>
      </c>
      <c r="L22" s="228" t="s">
        <v>443</v>
      </c>
      <c r="M22" s="224" t="s">
        <v>214</v>
      </c>
      <c r="N22" s="233"/>
    </row>
    <row r="23" spans="1:14" s="24" customFormat="1" ht="15" x14ac:dyDescent="0.25">
      <c r="A23" s="18">
        <f t="shared" si="0"/>
        <v>8</v>
      </c>
      <c r="B23" s="387" t="s">
        <v>211</v>
      </c>
      <c r="C23" s="225"/>
      <c r="D23" s="226"/>
      <c r="E23" s="227">
        <v>1978</v>
      </c>
      <c r="F23" s="228" t="s">
        <v>10</v>
      </c>
      <c r="G23" s="231" t="s">
        <v>86</v>
      </c>
      <c r="H23" s="234"/>
      <c r="I23" s="230">
        <v>85</v>
      </c>
      <c r="J23" s="231">
        <v>60</v>
      </c>
      <c r="K23" s="231">
        <v>11</v>
      </c>
      <c r="L23" s="228" t="s">
        <v>9</v>
      </c>
      <c r="M23" s="224" t="s">
        <v>212</v>
      </c>
      <c r="N23" s="420"/>
    </row>
    <row r="24" spans="1:14" s="24" customFormat="1" ht="15" x14ac:dyDescent="0.25">
      <c r="A24" s="18">
        <f t="shared" si="0"/>
        <v>9</v>
      </c>
      <c r="B24" s="387" t="s">
        <v>219</v>
      </c>
      <c r="C24" s="225"/>
      <c r="D24" s="226"/>
      <c r="E24" s="227">
        <v>1975</v>
      </c>
      <c r="F24" s="228" t="s">
        <v>8</v>
      </c>
      <c r="G24" s="231" t="s">
        <v>131</v>
      </c>
      <c r="H24" s="234"/>
      <c r="I24" s="230">
        <v>83.9</v>
      </c>
      <c r="J24" s="231">
        <v>59</v>
      </c>
      <c r="K24" s="231">
        <v>10</v>
      </c>
      <c r="L24" s="228" t="s">
        <v>443</v>
      </c>
      <c r="M24" s="224" t="s">
        <v>220</v>
      </c>
      <c r="N24" s="233"/>
    </row>
    <row r="25" spans="1:14" s="24" customFormat="1" ht="15" x14ac:dyDescent="0.25">
      <c r="A25" s="18">
        <f t="shared" si="0"/>
        <v>10</v>
      </c>
      <c r="B25" s="503" t="s">
        <v>206</v>
      </c>
      <c r="C25" s="265"/>
      <c r="D25" s="266"/>
      <c r="E25" s="227">
        <v>1993</v>
      </c>
      <c r="F25" s="231" t="s">
        <v>9</v>
      </c>
      <c r="G25" s="285" t="s">
        <v>168</v>
      </c>
      <c r="H25" s="40" t="s">
        <v>207</v>
      </c>
      <c r="I25" s="504">
        <v>83.7</v>
      </c>
      <c r="J25" s="505">
        <v>49</v>
      </c>
      <c r="K25" s="505">
        <v>9</v>
      </c>
      <c r="L25" s="49"/>
      <c r="M25" s="484" t="s">
        <v>424</v>
      </c>
      <c r="N25" s="286"/>
    </row>
    <row r="26" spans="1:14" s="24" customFormat="1" ht="15" x14ac:dyDescent="0.25">
      <c r="A26" s="18">
        <f t="shared" si="0"/>
        <v>11</v>
      </c>
      <c r="B26" s="387" t="s">
        <v>402</v>
      </c>
      <c r="C26" s="225"/>
      <c r="D26" s="226"/>
      <c r="E26" s="227">
        <v>1994</v>
      </c>
      <c r="F26" s="228" t="s">
        <v>9</v>
      </c>
      <c r="G26" s="53" t="s">
        <v>194</v>
      </c>
      <c r="H26" s="281"/>
      <c r="I26" s="230">
        <v>82</v>
      </c>
      <c r="J26" s="161">
        <v>48</v>
      </c>
      <c r="K26" s="231">
        <v>8</v>
      </c>
      <c r="L26" s="231"/>
      <c r="M26" s="248" t="s">
        <v>228</v>
      </c>
      <c r="N26" s="233" t="s">
        <v>38</v>
      </c>
    </row>
    <row r="27" spans="1:14" s="24" customFormat="1" ht="15" x14ac:dyDescent="0.25">
      <c r="A27" s="18">
        <f t="shared" si="0"/>
        <v>12</v>
      </c>
      <c r="B27" s="488" t="s">
        <v>401</v>
      </c>
      <c r="C27" s="267"/>
      <c r="D27" s="268"/>
      <c r="E27" s="480">
        <v>1996</v>
      </c>
      <c r="F27" s="469" t="s">
        <v>8</v>
      </c>
      <c r="G27" s="53" t="s">
        <v>194</v>
      </c>
      <c r="H27" s="53"/>
      <c r="I27" s="468">
        <v>82.6</v>
      </c>
      <c r="J27" s="161">
        <v>47</v>
      </c>
      <c r="K27" s="469">
        <v>7</v>
      </c>
      <c r="L27" s="40"/>
      <c r="M27" s="488" t="s">
        <v>173</v>
      </c>
      <c r="N27" s="233"/>
    </row>
    <row r="28" spans="1:14" s="24" customFormat="1" ht="15.75" x14ac:dyDescent="0.25">
      <c r="A28" s="18">
        <f t="shared" si="0"/>
        <v>13</v>
      </c>
      <c r="B28" s="390" t="s">
        <v>313</v>
      </c>
      <c r="C28" s="258"/>
      <c r="D28" s="259"/>
      <c r="E28" s="161">
        <v>1983</v>
      </c>
      <c r="F28" s="161" t="s">
        <v>9</v>
      </c>
      <c r="G28" s="260" t="s">
        <v>172</v>
      </c>
      <c r="H28" s="238"/>
      <c r="I28" s="465">
        <v>84.3</v>
      </c>
      <c r="J28" s="466">
        <v>45</v>
      </c>
      <c r="K28" s="466">
        <v>6</v>
      </c>
      <c r="L28" s="220"/>
      <c r="M28" s="387" t="s">
        <v>314</v>
      </c>
      <c r="N28" s="233"/>
    </row>
    <row r="29" spans="1:14" ht="13.5" x14ac:dyDescent="0.25">
      <c r="A29" s="35"/>
      <c r="B29" s="21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ht="13.5" x14ac:dyDescent="0.25">
      <c r="A30" s="35"/>
      <c r="B30" s="21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3.5" x14ac:dyDescent="0.25">
      <c r="A31" s="214" t="s">
        <v>480</v>
      </c>
      <c r="B31" s="210"/>
      <c r="C31" s="210"/>
      <c r="D31" s="210"/>
      <c r="E31" s="210"/>
      <c r="F31" s="210"/>
      <c r="G31" s="210"/>
      <c r="H31" s="214" t="s">
        <v>40</v>
      </c>
      <c r="J31" s="17"/>
      <c r="K31" s="205"/>
      <c r="L31" s="475" t="s">
        <v>479</v>
      </c>
      <c r="N31" s="205"/>
    </row>
    <row r="32" spans="1:14" ht="13.5" x14ac:dyDescent="0.25">
      <c r="A32" s="214"/>
      <c r="B32" s="383"/>
      <c r="C32" s="205"/>
      <c r="D32" s="17"/>
      <c r="E32" s="17"/>
      <c r="F32" s="17"/>
      <c r="G32" s="17"/>
      <c r="H32" s="214"/>
      <c r="J32" s="17"/>
      <c r="K32" s="205"/>
      <c r="L32" s="476"/>
      <c r="M32" s="17"/>
      <c r="N32" s="17"/>
    </row>
    <row r="33" spans="1:14" ht="13.5" x14ac:dyDescent="0.25">
      <c r="A33" s="214" t="s">
        <v>437</v>
      </c>
      <c r="B33" s="210"/>
      <c r="C33" s="210"/>
      <c r="D33" s="210"/>
      <c r="E33" s="210"/>
      <c r="F33" s="210"/>
      <c r="G33" s="210"/>
      <c r="H33" s="214" t="s">
        <v>41</v>
      </c>
      <c r="J33" s="210"/>
      <c r="L33" s="477" t="s">
        <v>481</v>
      </c>
      <c r="M33" s="205"/>
      <c r="N33" s="205"/>
    </row>
  </sheetData>
  <mergeCells count="27">
    <mergeCell ref="A8:B9"/>
    <mergeCell ref="A14:A15"/>
    <mergeCell ref="L7:N7"/>
    <mergeCell ref="G14:G15"/>
    <mergeCell ref="H14:H15"/>
    <mergeCell ref="F14:F15"/>
    <mergeCell ref="J14:J15"/>
    <mergeCell ref="L14:L15"/>
    <mergeCell ref="M14:N15"/>
    <mergeCell ref="D8:K8"/>
    <mergeCell ref="D9:K9"/>
    <mergeCell ref="D10:K10"/>
    <mergeCell ref="B14:D15"/>
    <mergeCell ref="I14:I15"/>
    <mergeCell ref="E14:E15"/>
    <mergeCell ref="K14:K15"/>
    <mergeCell ref="A7:B7"/>
    <mergeCell ref="C7:K7"/>
    <mergeCell ref="A1:N1"/>
    <mergeCell ref="A2:N2"/>
    <mergeCell ref="A3:N3"/>
    <mergeCell ref="A4:N4"/>
    <mergeCell ref="D6:K6"/>
    <mergeCell ref="L6:N6"/>
    <mergeCell ref="A6:C6"/>
    <mergeCell ref="A5:C5"/>
    <mergeCell ref="L5:N5"/>
  </mergeCells>
  <phoneticPr fontId="33" type="noConversion"/>
  <pageMargins left="0.7" right="0.7" top="0.75" bottom="0.75" header="0.3" footer="0.3"/>
  <pageSetup paperSize="9" scale="87" orientation="landscape" r:id="rId1"/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topLeftCell="A11" zoomScaleSheetLayoutView="100" workbookViewId="0">
      <selection activeCell="B18" sqref="B18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42578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7.710937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0"/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</row>
    <row r="6" spans="1:14" ht="28.15" customHeight="1" x14ac:dyDescent="0.2">
      <c r="A6" s="186"/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  <c r="M6" s="750"/>
      <c r="N6" s="750"/>
    </row>
    <row r="7" spans="1:14" ht="13.5" x14ac:dyDescent="0.25">
      <c r="A7" s="970" t="s">
        <v>681</v>
      </c>
      <c r="B7" s="970"/>
      <c r="C7" s="752"/>
      <c r="D7" s="1"/>
      <c r="E7" s="1"/>
      <c r="F7" s="1"/>
      <c r="G7" s="1"/>
      <c r="H7" s="1"/>
      <c r="I7" s="1"/>
      <c r="J7" s="1"/>
      <c r="K7" s="1"/>
      <c r="L7" s="971" t="s">
        <v>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985">
        <v>91</v>
      </c>
      <c r="B10" s="985"/>
      <c r="C10" s="751"/>
      <c r="D10" s="980" t="s">
        <v>533</v>
      </c>
      <c r="E10" s="981"/>
      <c r="F10" s="981"/>
      <c r="G10" s="981"/>
      <c r="H10" s="981"/>
      <c r="I10" s="981"/>
      <c r="J10" s="981"/>
      <c r="K10" s="981"/>
      <c r="L10" s="749" t="s">
        <v>8</v>
      </c>
      <c r="M10" s="749" t="s">
        <v>9</v>
      </c>
      <c r="N10" s="749" t="s">
        <v>10</v>
      </c>
    </row>
    <row r="11" spans="1:14" ht="15.75" x14ac:dyDescent="0.25">
      <c r="A11" s="985"/>
      <c r="B11" s="985"/>
      <c r="C11" s="751"/>
      <c r="D11" s="980" t="s">
        <v>11</v>
      </c>
      <c r="E11" s="981"/>
      <c r="F11" s="981"/>
      <c r="G11" s="981"/>
      <c r="H11" s="981"/>
      <c r="I11" s="981"/>
      <c r="J11" s="981"/>
      <c r="K11" s="981"/>
      <c r="L11" s="4">
        <v>52</v>
      </c>
      <c r="M11" s="4">
        <v>58</v>
      </c>
      <c r="N11" s="4">
        <v>78</v>
      </c>
    </row>
    <row r="12" spans="1:14" ht="16.5" thickBot="1" x14ac:dyDescent="0.3">
      <c r="A12" s="5"/>
      <c r="B12" s="384"/>
      <c r="C12" s="751"/>
      <c r="D12" s="980" t="s">
        <v>197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0"/>
      <c r="G13" s="750"/>
      <c r="H13" s="750"/>
      <c r="I13" s="750"/>
      <c r="J13" s="750"/>
      <c r="K13" s="750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0"/>
      <c r="G14" s="750"/>
      <c r="H14" s="750"/>
      <c r="I14" s="750"/>
      <c r="J14" s="750"/>
      <c r="K14" s="750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817" t="s">
        <v>686</v>
      </c>
      <c r="B18" s="799" t="s">
        <v>506</v>
      </c>
      <c r="C18" s="493"/>
      <c r="D18" s="811"/>
      <c r="E18" s="362">
        <v>1998</v>
      </c>
      <c r="F18" s="362" t="s">
        <v>9</v>
      </c>
      <c r="G18" s="466" t="s">
        <v>615</v>
      </c>
      <c r="H18" s="362"/>
      <c r="I18" s="465">
        <v>84.3</v>
      </c>
      <c r="J18" s="466">
        <v>81</v>
      </c>
      <c r="K18" s="466">
        <v>20</v>
      </c>
      <c r="L18" s="578" t="s">
        <v>10</v>
      </c>
      <c r="M18" s="387" t="s">
        <v>38</v>
      </c>
      <c r="N18" s="812"/>
    </row>
    <row r="19" spans="1:14" s="24" customFormat="1" ht="15" customHeight="1" x14ac:dyDescent="0.25">
      <c r="A19" s="817" t="s">
        <v>687</v>
      </c>
      <c r="B19" s="392" t="s">
        <v>198</v>
      </c>
      <c r="C19" s="302"/>
      <c r="D19" s="303"/>
      <c r="E19" s="556">
        <v>1998</v>
      </c>
      <c r="F19" s="578" t="s">
        <v>10</v>
      </c>
      <c r="G19" s="633" t="s">
        <v>639</v>
      </c>
      <c r="H19" s="471"/>
      <c r="I19" s="470">
        <v>84.55</v>
      </c>
      <c r="J19" s="471">
        <v>78</v>
      </c>
      <c r="K19" s="471">
        <v>18</v>
      </c>
      <c r="L19" s="578" t="s">
        <v>10</v>
      </c>
      <c r="M19" s="388" t="s">
        <v>201</v>
      </c>
      <c r="N19" s="803"/>
    </row>
    <row r="20" spans="1:14" s="24" customFormat="1" ht="15" customHeight="1" x14ac:dyDescent="0.25">
      <c r="A20" s="817" t="s">
        <v>688</v>
      </c>
      <c r="B20" s="388" t="s">
        <v>647</v>
      </c>
      <c r="C20" s="242"/>
      <c r="D20" s="243"/>
      <c r="E20" s="263">
        <v>1998</v>
      </c>
      <c r="F20" s="244" t="s">
        <v>9</v>
      </c>
      <c r="G20" s="245" t="s">
        <v>492</v>
      </c>
      <c r="H20" s="245"/>
      <c r="I20" s="91">
        <v>84.4</v>
      </c>
      <c r="J20" s="245">
        <v>78</v>
      </c>
      <c r="K20" s="466">
        <v>16</v>
      </c>
      <c r="L20" s="578" t="s">
        <v>10</v>
      </c>
      <c r="M20" s="241" t="s">
        <v>217</v>
      </c>
      <c r="N20" s="246"/>
    </row>
    <row r="21" spans="1:14" s="24" customFormat="1" ht="15" customHeight="1" x14ac:dyDescent="0.25">
      <c r="A21" s="817" t="s">
        <v>689</v>
      </c>
      <c r="B21" s="534" t="s">
        <v>66</v>
      </c>
      <c r="C21" s="718"/>
      <c r="D21" s="813"/>
      <c r="E21" s="535">
        <v>1992</v>
      </c>
      <c r="F21" s="509" t="s">
        <v>10</v>
      </c>
      <c r="G21" s="244" t="s">
        <v>603</v>
      </c>
      <c r="H21" s="473"/>
      <c r="I21" s="472">
        <v>79.55</v>
      </c>
      <c r="J21" s="473">
        <v>73</v>
      </c>
      <c r="K21" s="471">
        <v>15</v>
      </c>
      <c r="L21" s="244" t="s">
        <v>9</v>
      </c>
      <c r="M21" s="464" t="s">
        <v>644</v>
      </c>
      <c r="N21" s="564"/>
    </row>
    <row r="22" spans="1:14" s="24" customFormat="1" ht="15" customHeight="1" x14ac:dyDescent="0.25">
      <c r="A22" s="817" t="s">
        <v>690</v>
      </c>
      <c r="B22" s="534" t="s">
        <v>73</v>
      </c>
      <c r="C22" s="718"/>
      <c r="D22" s="813"/>
      <c r="E22" s="497">
        <v>1989</v>
      </c>
      <c r="F22" s="509" t="s">
        <v>10</v>
      </c>
      <c r="G22" s="539" t="s">
        <v>35</v>
      </c>
      <c r="H22" s="473"/>
      <c r="I22" s="538">
        <v>81.95</v>
      </c>
      <c r="J22" s="399">
        <v>70</v>
      </c>
      <c r="K22" s="466">
        <v>14</v>
      </c>
      <c r="L22" s="244" t="s">
        <v>9</v>
      </c>
      <c r="M22" s="464" t="s">
        <v>210</v>
      </c>
      <c r="N22" s="564"/>
    </row>
    <row r="23" spans="1:14" s="24" customFormat="1" ht="15" customHeight="1" x14ac:dyDescent="0.25">
      <c r="A23" s="817" t="s">
        <v>691</v>
      </c>
      <c r="B23" s="388" t="s">
        <v>641</v>
      </c>
      <c r="C23" s="242"/>
      <c r="D23" s="243"/>
      <c r="E23" s="397">
        <v>1978</v>
      </c>
      <c r="F23" s="244" t="s">
        <v>10</v>
      </c>
      <c r="G23" s="399" t="s">
        <v>565</v>
      </c>
      <c r="H23" s="245"/>
      <c r="I23" s="398">
        <v>85</v>
      </c>
      <c r="J23" s="399">
        <v>70</v>
      </c>
      <c r="K23" s="471">
        <v>13</v>
      </c>
      <c r="L23" s="244" t="s">
        <v>9</v>
      </c>
      <c r="M23" s="241" t="s">
        <v>642</v>
      </c>
      <c r="N23" s="246"/>
    </row>
    <row r="24" spans="1:14" s="24" customFormat="1" ht="16.5" customHeight="1" x14ac:dyDescent="0.25">
      <c r="A24" s="817" t="s">
        <v>692</v>
      </c>
      <c r="B24" s="387" t="s">
        <v>648</v>
      </c>
      <c r="C24" s="225"/>
      <c r="D24" s="226"/>
      <c r="E24" s="227">
        <v>1992</v>
      </c>
      <c r="F24" s="228" t="s">
        <v>9</v>
      </c>
      <c r="G24" s="245" t="s">
        <v>125</v>
      </c>
      <c r="H24" s="231"/>
      <c r="I24" s="230">
        <v>81.599999999999994</v>
      </c>
      <c r="J24" s="231">
        <v>66</v>
      </c>
      <c r="K24" s="466">
        <v>12</v>
      </c>
      <c r="L24" s="244" t="s">
        <v>9</v>
      </c>
      <c r="M24" s="241" t="s">
        <v>405</v>
      </c>
      <c r="N24" s="233"/>
    </row>
    <row r="25" spans="1:14" s="24" customFormat="1" ht="18.75" customHeight="1" x14ac:dyDescent="0.25">
      <c r="A25" s="817" t="s">
        <v>693</v>
      </c>
      <c r="B25" s="800" t="s">
        <v>643</v>
      </c>
      <c r="C25" s="522"/>
      <c r="D25" s="523"/>
      <c r="E25" s="480">
        <v>1993</v>
      </c>
      <c r="F25" s="469" t="s">
        <v>9</v>
      </c>
      <c r="G25" s="469" t="s">
        <v>27</v>
      </c>
      <c r="H25" s="469"/>
      <c r="I25" s="468">
        <v>84.7</v>
      </c>
      <c r="J25" s="231">
        <v>64</v>
      </c>
      <c r="K25" s="471">
        <v>11</v>
      </c>
      <c r="L25" s="244" t="s">
        <v>9</v>
      </c>
      <c r="M25" s="463" t="s">
        <v>501</v>
      </c>
      <c r="N25" s="810"/>
    </row>
    <row r="26" spans="1:14" s="24" customFormat="1" ht="17.25" customHeight="1" x14ac:dyDescent="0.25">
      <c r="A26" s="817" t="s">
        <v>709</v>
      </c>
      <c r="B26" s="387" t="s">
        <v>185</v>
      </c>
      <c r="C26" s="225"/>
      <c r="D26" s="226"/>
      <c r="E26" s="227">
        <v>1997</v>
      </c>
      <c r="F26" s="228" t="s">
        <v>9</v>
      </c>
      <c r="G26" s="228" t="s">
        <v>35</v>
      </c>
      <c r="H26" s="161"/>
      <c r="I26" s="230">
        <v>81.349999999999994</v>
      </c>
      <c r="J26" s="231">
        <v>58</v>
      </c>
      <c r="K26" s="466">
        <v>10</v>
      </c>
      <c r="L26" s="244" t="s">
        <v>9</v>
      </c>
      <c r="M26" s="248" t="s">
        <v>640</v>
      </c>
      <c r="N26" s="233"/>
    </row>
    <row r="27" spans="1:14" s="24" customFormat="1" ht="15.75" customHeight="1" x14ac:dyDescent="0.25">
      <c r="A27" s="817" t="s">
        <v>710</v>
      </c>
      <c r="B27" s="387" t="s">
        <v>645</v>
      </c>
      <c r="C27" s="225"/>
      <c r="D27" s="226"/>
      <c r="E27" s="227">
        <v>1994</v>
      </c>
      <c r="F27" s="228" t="s">
        <v>9</v>
      </c>
      <c r="G27" s="231" t="s">
        <v>237</v>
      </c>
      <c r="H27" s="231"/>
      <c r="I27" s="230">
        <v>83.85</v>
      </c>
      <c r="J27" s="231">
        <v>53</v>
      </c>
      <c r="K27" s="471">
        <v>9</v>
      </c>
      <c r="L27" s="469" t="s">
        <v>8</v>
      </c>
      <c r="M27" s="224" t="s">
        <v>646</v>
      </c>
      <c r="N27" s="233"/>
    </row>
    <row r="28" spans="1:14" s="24" customFormat="1" ht="15" x14ac:dyDescent="0.25">
      <c r="A28" s="817" t="s">
        <v>711</v>
      </c>
      <c r="B28" s="487" t="s">
        <v>649</v>
      </c>
      <c r="C28" s="499"/>
      <c r="D28" s="500"/>
      <c r="E28" s="816">
        <v>1995</v>
      </c>
      <c r="F28" s="511" t="s">
        <v>9</v>
      </c>
      <c r="G28" s="474" t="s">
        <v>33</v>
      </c>
      <c r="H28" s="496"/>
      <c r="I28" s="547">
        <v>83.4</v>
      </c>
      <c r="J28" s="466">
        <v>50</v>
      </c>
      <c r="K28" s="466">
        <v>8</v>
      </c>
      <c r="L28" s="471"/>
      <c r="M28" s="388" t="s">
        <v>650</v>
      </c>
      <c r="N28" s="803"/>
    </row>
    <row r="29" spans="1:14" x14ac:dyDescent="0.2">
      <c r="A29" s="17"/>
      <c r="B29" s="21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ht="13.5" x14ac:dyDescent="0.25">
      <c r="A30" s="214" t="s">
        <v>534</v>
      </c>
      <c r="B30" s="210"/>
      <c r="C30" s="210"/>
      <c r="D30" s="210"/>
      <c r="E30" s="210"/>
      <c r="F30" s="210"/>
      <c r="G30" s="210"/>
      <c r="H30" s="214" t="s">
        <v>40</v>
      </c>
      <c r="J30" s="17"/>
      <c r="K30" s="761"/>
      <c r="L30" s="475" t="s">
        <v>536</v>
      </c>
      <c r="N30" s="753"/>
    </row>
    <row r="31" spans="1:14" ht="13.5" x14ac:dyDescent="0.25">
      <c r="A31" s="214"/>
      <c r="B31" s="383"/>
      <c r="C31" s="761"/>
      <c r="D31" s="17"/>
      <c r="E31" s="17"/>
      <c r="F31" s="17"/>
      <c r="G31" s="17"/>
      <c r="H31" s="214"/>
      <c r="J31" s="17"/>
      <c r="K31" s="761"/>
      <c r="L31" s="476"/>
      <c r="M31" s="17"/>
      <c r="N31" s="17"/>
    </row>
    <row r="32" spans="1:14" ht="13.5" x14ac:dyDescent="0.25">
      <c r="A32" s="214" t="s">
        <v>535</v>
      </c>
      <c r="B32" s="210"/>
      <c r="C32" s="210"/>
      <c r="D32" s="210"/>
      <c r="E32" s="210"/>
      <c r="F32" s="210"/>
      <c r="G32" s="210"/>
      <c r="H32" s="214" t="s">
        <v>41</v>
      </c>
      <c r="J32" s="210"/>
      <c r="L32" s="477" t="s">
        <v>537</v>
      </c>
      <c r="M32" s="753"/>
      <c r="N32" s="753"/>
    </row>
  </sheetData>
  <sortState ref="B18:N28">
    <sortCondition descending="1" ref="J18:J28"/>
  </sortState>
  <mergeCells count="27"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  <mergeCell ref="A8:B8"/>
    <mergeCell ref="D8:K8"/>
    <mergeCell ref="L8:N8"/>
    <mergeCell ref="A9:B9"/>
    <mergeCell ref="C9:K9"/>
    <mergeCell ref="L9:N9"/>
    <mergeCell ref="B1:N1"/>
    <mergeCell ref="B2:N2"/>
    <mergeCell ref="B3:N3"/>
    <mergeCell ref="B4:N4"/>
    <mergeCell ref="A7:B7"/>
    <mergeCell ref="L7:N7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4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zoomScale="90" zoomScaleSheetLayoutView="90" workbookViewId="0">
      <selection activeCell="L9" sqref="L9:N9"/>
    </sheetView>
  </sheetViews>
  <sheetFormatPr defaultRowHeight="12.75" x14ac:dyDescent="0.2"/>
  <cols>
    <col min="2" max="2" width="9.140625" style="167" customWidth="1"/>
    <col min="4" max="4" width="6.5703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7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2</v>
      </c>
      <c r="M5" s="971"/>
      <c r="N5" s="971"/>
    </row>
    <row r="6" spans="1:14" ht="15.75" x14ac:dyDescent="0.25">
      <c r="A6" s="988" t="s">
        <v>113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5.75" x14ac:dyDescent="0.25">
      <c r="A8" s="986">
        <v>91</v>
      </c>
      <c r="B8" s="986"/>
      <c r="C8" s="434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5.75" x14ac:dyDescent="0.25">
      <c r="A9" s="986"/>
      <c r="B9" s="986"/>
      <c r="C9" s="434"/>
      <c r="D9" s="980" t="s">
        <v>11</v>
      </c>
      <c r="E9" s="981"/>
      <c r="F9" s="981"/>
      <c r="G9" s="981"/>
      <c r="H9" s="981"/>
      <c r="I9" s="981"/>
      <c r="J9" s="981"/>
      <c r="K9" s="981"/>
      <c r="L9" s="4">
        <v>55</v>
      </c>
      <c r="M9" s="4">
        <v>60</v>
      </c>
      <c r="N9" s="4">
        <v>82</v>
      </c>
    </row>
    <row r="10" spans="1:14" ht="16.5" thickBot="1" x14ac:dyDescent="0.3">
      <c r="A10" s="5"/>
      <c r="B10" s="384"/>
      <c r="C10" s="434"/>
      <c r="D10" s="980" t="s">
        <v>221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5.75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12"/>
      <c r="M11" s="12"/>
      <c r="N11" s="12"/>
    </row>
    <row r="12" spans="1:14" ht="13.5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x14ac:dyDescent="0.2">
      <c r="A13" s="1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18</v>
      </c>
      <c r="G14" s="972" t="s">
        <v>19</v>
      </c>
      <c r="H14" s="973" t="s">
        <v>20</v>
      </c>
      <c r="I14" s="972" t="s">
        <v>21</v>
      </c>
      <c r="J14" s="972" t="s">
        <v>22</v>
      </c>
      <c r="K14" s="972" t="s">
        <v>23</v>
      </c>
      <c r="L14" s="972" t="s">
        <v>24</v>
      </c>
      <c r="M14" s="972" t="s">
        <v>25</v>
      </c>
      <c r="N14" s="972"/>
    </row>
    <row r="15" spans="1:14" x14ac:dyDescent="0.2">
      <c r="A15" s="972"/>
      <c r="B15" s="973"/>
      <c r="C15" s="973"/>
      <c r="D15" s="973"/>
      <c r="E15" s="973"/>
      <c r="F15" s="973"/>
      <c r="G15" s="973"/>
      <c r="H15" s="979"/>
      <c r="I15" s="973"/>
      <c r="J15" s="973"/>
      <c r="K15" s="973"/>
      <c r="L15" s="973"/>
      <c r="M15" s="973"/>
      <c r="N15" s="973"/>
    </row>
    <row r="16" spans="1:14" s="24" customFormat="1" ht="15.75" customHeight="1" x14ac:dyDescent="0.25">
      <c r="A16" s="18">
        <v>1</v>
      </c>
      <c r="B16" s="390" t="s">
        <v>222</v>
      </c>
      <c r="C16" s="225"/>
      <c r="D16" s="226"/>
      <c r="E16" s="506">
        <v>1981</v>
      </c>
      <c r="F16" s="244" t="s">
        <v>223</v>
      </c>
      <c r="G16" s="379" t="s">
        <v>140</v>
      </c>
      <c r="H16" s="260" t="s">
        <v>141</v>
      </c>
      <c r="I16" s="230">
        <v>91.65</v>
      </c>
      <c r="J16" s="231">
        <v>90</v>
      </c>
      <c r="K16" s="231">
        <v>20</v>
      </c>
      <c r="L16" s="290" t="s">
        <v>10</v>
      </c>
      <c r="M16" s="271" t="s">
        <v>142</v>
      </c>
      <c r="N16" s="233"/>
    </row>
    <row r="17" spans="1:14" s="24" customFormat="1" ht="23.25" customHeight="1" x14ac:dyDescent="0.25">
      <c r="A17" s="18">
        <f t="shared" ref="A17:A26" si="0">A16+1</f>
        <v>2</v>
      </c>
      <c r="B17" s="390" t="s">
        <v>226</v>
      </c>
      <c r="C17" s="225"/>
      <c r="D17" s="226"/>
      <c r="E17" s="289">
        <v>1978</v>
      </c>
      <c r="F17" s="244" t="s">
        <v>10</v>
      </c>
      <c r="G17" s="291" t="s">
        <v>120</v>
      </c>
      <c r="H17" s="216" t="s">
        <v>121</v>
      </c>
      <c r="I17" s="230">
        <v>89.95</v>
      </c>
      <c r="J17" s="231">
        <v>82</v>
      </c>
      <c r="K17" s="231">
        <v>18</v>
      </c>
      <c r="L17" s="290" t="s">
        <v>10</v>
      </c>
      <c r="M17" s="248" t="s">
        <v>29</v>
      </c>
      <c r="N17" s="233"/>
    </row>
    <row r="18" spans="1:14" s="24" customFormat="1" ht="30" customHeight="1" x14ac:dyDescent="0.25">
      <c r="A18" s="18">
        <f t="shared" si="0"/>
        <v>3</v>
      </c>
      <c r="B18" s="390" t="s">
        <v>305</v>
      </c>
      <c r="C18" s="225"/>
      <c r="D18" s="226"/>
      <c r="E18" s="506">
        <v>1974</v>
      </c>
      <c r="F18" s="244" t="s">
        <v>9</v>
      </c>
      <c r="G18" s="396" t="s">
        <v>428</v>
      </c>
      <c r="H18" s="238"/>
      <c r="I18" s="465">
        <v>92.9</v>
      </c>
      <c r="J18" s="466">
        <v>82</v>
      </c>
      <c r="K18" s="466">
        <v>16</v>
      </c>
      <c r="L18" s="290" t="s">
        <v>10</v>
      </c>
      <c r="M18" s="222" t="s">
        <v>441</v>
      </c>
      <c r="N18" s="223"/>
    </row>
    <row r="19" spans="1:14" s="24" customFormat="1" ht="18" customHeight="1" x14ac:dyDescent="0.25">
      <c r="A19" s="18">
        <f t="shared" si="0"/>
        <v>4</v>
      </c>
      <c r="B19" s="390" t="s">
        <v>224</v>
      </c>
      <c r="C19" s="308"/>
      <c r="D19" s="309"/>
      <c r="E19" s="507">
        <v>1990</v>
      </c>
      <c r="F19" s="466" t="s">
        <v>9</v>
      </c>
      <c r="G19" s="220" t="s">
        <v>33</v>
      </c>
      <c r="H19" s="220"/>
      <c r="I19" s="465">
        <v>89.45</v>
      </c>
      <c r="J19" s="466">
        <v>80</v>
      </c>
      <c r="K19" s="466">
        <v>15</v>
      </c>
      <c r="L19" s="220" t="s">
        <v>9</v>
      </c>
      <c r="M19" s="513" t="s">
        <v>225</v>
      </c>
      <c r="N19" s="288"/>
    </row>
    <row r="20" spans="1:14" s="24" customFormat="1" ht="17.25" customHeight="1" x14ac:dyDescent="0.25">
      <c r="A20" s="18">
        <f t="shared" si="0"/>
        <v>5</v>
      </c>
      <c r="B20" s="489" t="s">
        <v>98</v>
      </c>
      <c r="C20" s="478"/>
      <c r="D20" s="479"/>
      <c r="E20" s="508">
        <v>1987</v>
      </c>
      <c r="F20" s="509" t="s">
        <v>9</v>
      </c>
      <c r="G20" s="43" t="s">
        <v>33</v>
      </c>
      <c r="H20" s="53"/>
      <c r="I20" s="468">
        <v>95</v>
      </c>
      <c r="J20" s="469">
        <v>76</v>
      </c>
      <c r="K20" s="469">
        <v>14</v>
      </c>
      <c r="L20" s="220" t="s">
        <v>9</v>
      </c>
      <c r="M20" s="41" t="s">
        <v>34</v>
      </c>
      <c r="N20" s="44"/>
    </row>
    <row r="21" spans="1:14" s="24" customFormat="1" ht="17.25" customHeight="1" x14ac:dyDescent="0.25">
      <c r="A21" s="18">
        <f t="shared" si="0"/>
        <v>6</v>
      </c>
      <c r="B21" s="390" t="s">
        <v>315</v>
      </c>
      <c r="C21" s="225"/>
      <c r="D21" s="226"/>
      <c r="E21" s="510">
        <v>1993</v>
      </c>
      <c r="F21" s="511" t="s">
        <v>9</v>
      </c>
      <c r="G21" s="341" t="s">
        <v>172</v>
      </c>
      <c r="H21" s="238"/>
      <c r="I21" s="465">
        <v>93.1</v>
      </c>
      <c r="J21" s="161">
        <v>63</v>
      </c>
      <c r="K21" s="466">
        <v>13</v>
      </c>
      <c r="L21" s="220" t="s">
        <v>9</v>
      </c>
      <c r="M21" s="222" t="s">
        <v>316</v>
      </c>
      <c r="N21" s="223"/>
    </row>
    <row r="22" spans="1:14" s="24" customFormat="1" ht="16.5" customHeight="1" x14ac:dyDescent="0.25">
      <c r="A22" s="18">
        <f t="shared" si="0"/>
        <v>7</v>
      </c>
      <c r="B22" s="390" t="s">
        <v>306</v>
      </c>
      <c r="C22" s="225"/>
      <c r="D22" s="226"/>
      <c r="E22" s="289">
        <v>1996</v>
      </c>
      <c r="F22" s="244" t="s">
        <v>9</v>
      </c>
      <c r="G22" s="292" t="s">
        <v>147</v>
      </c>
      <c r="H22" s="238"/>
      <c r="I22" s="465">
        <v>92.8</v>
      </c>
      <c r="J22" s="161">
        <v>60</v>
      </c>
      <c r="K22" s="466">
        <v>12</v>
      </c>
      <c r="L22" s="220" t="s">
        <v>9</v>
      </c>
      <c r="M22" s="222" t="s">
        <v>442</v>
      </c>
      <c r="N22" s="223"/>
    </row>
    <row r="23" spans="1:14" s="24" customFormat="1" ht="22.5" x14ac:dyDescent="0.2">
      <c r="A23" s="18">
        <f t="shared" si="0"/>
        <v>8</v>
      </c>
      <c r="B23" s="503" t="s">
        <v>229</v>
      </c>
      <c r="C23" s="276"/>
      <c r="D23" s="277"/>
      <c r="E23" s="289">
        <v>1972</v>
      </c>
      <c r="F23" s="511" t="s">
        <v>8</v>
      </c>
      <c r="G23" s="292" t="s">
        <v>199</v>
      </c>
      <c r="H23" s="216" t="s">
        <v>200</v>
      </c>
      <c r="I23" s="230">
        <v>93.2</v>
      </c>
      <c r="J23" s="231">
        <v>58</v>
      </c>
      <c r="K23" s="231">
        <v>11</v>
      </c>
      <c r="L23" s="378" t="s">
        <v>8</v>
      </c>
      <c r="M23" s="262" t="s">
        <v>201</v>
      </c>
      <c r="N23" s="279"/>
    </row>
    <row r="24" spans="1:14" s="24" customFormat="1" ht="15.75" x14ac:dyDescent="0.25">
      <c r="A24" s="18">
        <f t="shared" si="0"/>
        <v>9</v>
      </c>
      <c r="B24" s="390" t="s">
        <v>231</v>
      </c>
      <c r="C24" s="225"/>
      <c r="D24" s="226"/>
      <c r="E24" s="227">
        <v>1996</v>
      </c>
      <c r="F24" s="228" t="s">
        <v>9</v>
      </c>
      <c r="G24" s="231" t="s">
        <v>86</v>
      </c>
      <c r="H24" s="294" t="s">
        <v>31</v>
      </c>
      <c r="I24" s="230">
        <v>91.5</v>
      </c>
      <c r="J24" s="231">
        <v>46</v>
      </c>
      <c r="K24" s="231">
        <v>10</v>
      </c>
      <c r="L24" s="231"/>
      <c r="M24" s="514" t="s">
        <v>232</v>
      </c>
      <c r="N24" s="295"/>
    </row>
    <row r="25" spans="1:14" s="24" customFormat="1" ht="15.75" x14ac:dyDescent="0.25">
      <c r="A25" s="18">
        <f t="shared" si="0"/>
        <v>10</v>
      </c>
      <c r="B25" s="390" t="s">
        <v>302</v>
      </c>
      <c r="C25" s="225"/>
      <c r="D25" s="226"/>
      <c r="E25" s="283">
        <v>1993</v>
      </c>
      <c r="F25" s="512" t="s">
        <v>8</v>
      </c>
      <c r="G25" s="260" t="s">
        <v>172</v>
      </c>
      <c r="H25" s="231"/>
      <c r="I25" s="230">
        <v>89.65</v>
      </c>
      <c r="J25" s="231">
        <v>40</v>
      </c>
      <c r="K25" s="231">
        <v>9</v>
      </c>
      <c r="L25" s="231"/>
      <c r="M25" s="257" t="s">
        <v>303</v>
      </c>
      <c r="N25" s="233"/>
    </row>
    <row r="26" spans="1:14" s="24" customFormat="1" ht="15" x14ac:dyDescent="0.25">
      <c r="A26" s="18">
        <f t="shared" si="0"/>
        <v>11</v>
      </c>
      <c r="B26" s="390" t="s">
        <v>227</v>
      </c>
      <c r="C26" s="225"/>
      <c r="D26" s="226"/>
      <c r="E26" s="227">
        <v>1986</v>
      </c>
      <c r="F26" s="319" t="s">
        <v>9</v>
      </c>
      <c r="G26" s="231" t="s">
        <v>122</v>
      </c>
      <c r="H26" s="235" t="s">
        <v>123</v>
      </c>
      <c r="I26" s="230">
        <v>88.2</v>
      </c>
      <c r="J26" s="231">
        <v>26</v>
      </c>
      <c r="K26" s="231">
        <v>8</v>
      </c>
      <c r="L26" s="231"/>
      <c r="M26" s="224" t="s">
        <v>39</v>
      </c>
      <c r="N26" s="233"/>
    </row>
    <row r="27" spans="1:14" x14ac:dyDescent="0.2">
      <c r="A27" s="17"/>
      <c r="B27" s="215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ht="13.5" x14ac:dyDescent="0.25">
      <c r="A28" s="214" t="s">
        <v>480</v>
      </c>
      <c r="B28" s="210"/>
      <c r="C28" s="210"/>
      <c r="D28" s="210"/>
      <c r="E28" s="210"/>
      <c r="F28" s="210"/>
      <c r="G28" s="210"/>
      <c r="H28" s="214" t="s">
        <v>40</v>
      </c>
      <c r="J28" s="17"/>
      <c r="K28" s="205"/>
      <c r="L28" s="475" t="s">
        <v>479</v>
      </c>
      <c r="N28" s="205"/>
    </row>
    <row r="29" spans="1:14" ht="13.5" x14ac:dyDescent="0.25">
      <c r="A29" s="214"/>
      <c r="B29" s="383"/>
      <c r="C29" s="205"/>
      <c r="D29" s="17"/>
      <c r="E29" s="17"/>
      <c r="F29" s="17"/>
      <c r="G29" s="17"/>
      <c r="H29" s="214"/>
      <c r="J29" s="17"/>
      <c r="K29" s="205"/>
      <c r="L29" s="476"/>
      <c r="M29" s="17"/>
      <c r="N29" s="17"/>
    </row>
    <row r="30" spans="1:14" ht="13.5" x14ac:dyDescent="0.25">
      <c r="A30" s="214" t="s">
        <v>437</v>
      </c>
      <c r="B30" s="210"/>
      <c r="C30" s="210"/>
      <c r="D30" s="210"/>
      <c r="E30" s="210"/>
      <c r="F30" s="210"/>
      <c r="G30" s="210"/>
      <c r="H30" s="214" t="s">
        <v>41</v>
      </c>
      <c r="J30" s="210"/>
      <c r="L30" s="477" t="s">
        <v>481</v>
      </c>
      <c r="M30" s="205"/>
      <c r="N30" s="205"/>
    </row>
  </sheetData>
  <mergeCells count="27">
    <mergeCell ref="A8:B9"/>
    <mergeCell ref="A14:A15"/>
    <mergeCell ref="L7:N7"/>
    <mergeCell ref="G14:G15"/>
    <mergeCell ref="H14:H15"/>
    <mergeCell ref="F14:F15"/>
    <mergeCell ref="J14:J15"/>
    <mergeCell ref="L14:L15"/>
    <mergeCell ref="M14:N15"/>
    <mergeCell ref="D8:K8"/>
    <mergeCell ref="D9:K9"/>
    <mergeCell ref="D10:K10"/>
    <mergeCell ref="B14:D15"/>
    <mergeCell ref="I14:I15"/>
    <mergeCell ref="E14:E15"/>
    <mergeCell ref="K14:K15"/>
    <mergeCell ref="A7:B7"/>
    <mergeCell ref="C7:K7"/>
    <mergeCell ref="A1:N1"/>
    <mergeCell ref="A2:N2"/>
    <mergeCell ref="A3:N3"/>
    <mergeCell ref="A4:N4"/>
    <mergeCell ref="D6:K6"/>
    <mergeCell ref="L6:N6"/>
    <mergeCell ref="A6:C6"/>
    <mergeCell ref="A5:C5"/>
    <mergeCell ref="L5:N5"/>
  </mergeCells>
  <phoneticPr fontId="33" type="noConversion"/>
  <pageMargins left="0.7" right="0.7" top="0.75" bottom="0.75" header="0.3" footer="0.3"/>
  <pageSetup paperSize="9" scale="87" orientation="landscape" r:id="rId1"/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topLeftCell="A11" zoomScaleSheetLayoutView="100" workbookViewId="0">
      <selection activeCell="C30" sqref="C30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285156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20.2851562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0"/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</row>
    <row r="6" spans="1:14" ht="28.15" customHeight="1" x14ac:dyDescent="0.2">
      <c r="A6" s="186"/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  <c r="M6" s="750"/>
      <c r="N6" s="750"/>
    </row>
    <row r="7" spans="1:14" ht="13.5" x14ac:dyDescent="0.25">
      <c r="A7" s="970" t="s">
        <v>681</v>
      </c>
      <c r="B7" s="970"/>
      <c r="C7" s="752"/>
      <c r="D7" s="1"/>
      <c r="E7" s="1"/>
      <c r="F7" s="1"/>
      <c r="G7" s="1"/>
      <c r="H7" s="1"/>
      <c r="I7" s="1"/>
      <c r="J7" s="1"/>
      <c r="K7" s="1"/>
      <c r="L7" s="971" t="s">
        <v>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985">
        <v>91</v>
      </c>
      <c r="B10" s="985"/>
      <c r="C10" s="751"/>
      <c r="D10" s="980" t="s">
        <v>533</v>
      </c>
      <c r="E10" s="981"/>
      <c r="F10" s="981"/>
      <c r="G10" s="981"/>
      <c r="H10" s="981"/>
      <c r="I10" s="981"/>
      <c r="J10" s="981"/>
      <c r="K10" s="981"/>
      <c r="L10" s="749" t="s">
        <v>8</v>
      </c>
      <c r="M10" s="749" t="s">
        <v>9</v>
      </c>
      <c r="N10" s="749" t="s">
        <v>10</v>
      </c>
    </row>
    <row r="11" spans="1:14" ht="15.75" x14ac:dyDescent="0.25">
      <c r="A11" s="985"/>
      <c r="B11" s="985"/>
      <c r="C11" s="751"/>
      <c r="D11" s="980" t="s">
        <v>11</v>
      </c>
      <c r="E11" s="981"/>
      <c r="F11" s="981"/>
      <c r="G11" s="981"/>
      <c r="H11" s="981"/>
      <c r="I11" s="981"/>
      <c r="J11" s="981"/>
      <c r="K11" s="981"/>
      <c r="L11" s="4">
        <v>55</v>
      </c>
      <c r="M11" s="4">
        <v>60</v>
      </c>
      <c r="N11" s="4">
        <v>82</v>
      </c>
    </row>
    <row r="12" spans="1:14" ht="16.5" thickBot="1" x14ac:dyDescent="0.3">
      <c r="A12" s="5"/>
      <c r="B12" s="384"/>
      <c r="C12" s="751"/>
      <c r="D12" s="980" t="s">
        <v>221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0"/>
      <c r="G13" s="750"/>
      <c r="H13" s="750"/>
      <c r="I13" s="750"/>
      <c r="J13" s="750"/>
      <c r="K13" s="750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0"/>
      <c r="G14" s="750"/>
      <c r="H14" s="750"/>
      <c r="I14" s="750"/>
      <c r="J14" s="750"/>
      <c r="K14" s="750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817" t="s">
        <v>686</v>
      </c>
      <c r="B18" s="908" t="s">
        <v>658</v>
      </c>
      <c r="C18" s="493"/>
      <c r="D18" s="811"/>
      <c r="E18" s="362">
        <v>1996</v>
      </c>
      <c r="F18" s="362" t="s">
        <v>10</v>
      </c>
      <c r="G18" s="466" t="s">
        <v>608</v>
      </c>
      <c r="H18" s="362"/>
      <c r="I18" s="465">
        <v>94</v>
      </c>
      <c r="J18" s="466">
        <v>88</v>
      </c>
      <c r="K18" s="466">
        <v>20</v>
      </c>
      <c r="L18" s="362" t="s">
        <v>10</v>
      </c>
      <c r="M18" s="387" t="s">
        <v>659</v>
      </c>
      <c r="N18" s="812"/>
    </row>
    <row r="19" spans="1:14" s="24" customFormat="1" ht="15" customHeight="1" x14ac:dyDescent="0.25">
      <c r="A19" s="817" t="s">
        <v>687</v>
      </c>
      <c r="B19" s="487" t="s">
        <v>510</v>
      </c>
      <c r="C19" s="499"/>
      <c r="D19" s="500"/>
      <c r="E19" s="511">
        <v>1978</v>
      </c>
      <c r="F19" s="511" t="s">
        <v>10</v>
      </c>
      <c r="G19" s="244" t="s">
        <v>489</v>
      </c>
      <c r="H19" s="496"/>
      <c r="I19" s="470">
        <v>91.8</v>
      </c>
      <c r="J19" s="471">
        <v>85</v>
      </c>
      <c r="K19" s="471">
        <v>18</v>
      </c>
      <c r="L19" s="362" t="s">
        <v>10</v>
      </c>
      <c r="M19" s="388" t="s">
        <v>29</v>
      </c>
      <c r="N19" s="803"/>
    </row>
    <row r="20" spans="1:14" s="24" customFormat="1" ht="15" customHeight="1" x14ac:dyDescent="0.25">
      <c r="A20" s="817" t="s">
        <v>688</v>
      </c>
      <c r="B20" s="388" t="s">
        <v>224</v>
      </c>
      <c r="C20" s="242"/>
      <c r="D20" s="243"/>
      <c r="E20" s="263">
        <v>1990</v>
      </c>
      <c r="F20" s="244" t="s">
        <v>9</v>
      </c>
      <c r="G20" s="245" t="s">
        <v>33</v>
      </c>
      <c r="H20" s="245"/>
      <c r="I20" s="91">
        <v>94.3</v>
      </c>
      <c r="J20" s="245">
        <v>83</v>
      </c>
      <c r="K20" s="245">
        <v>16</v>
      </c>
      <c r="L20" s="362" t="s">
        <v>10</v>
      </c>
      <c r="M20" s="241" t="s">
        <v>665</v>
      </c>
      <c r="N20" s="246"/>
    </row>
    <row r="21" spans="1:14" s="24" customFormat="1" ht="15" customHeight="1" x14ac:dyDescent="0.25">
      <c r="A21" s="817" t="s">
        <v>689</v>
      </c>
      <c r="B21" s="388" t="s">
        <v>651</v>
      </c>
      <c r="C21" s="242"/>
      <c r="D21" s="243"/>
      <c r="E21" s="397">
        <v>1980</v>
      </c>
      <c r="F21" s="244" t="s">
        <v>10</v>
      </c>
      <c r="G21" s="474" t="s">
        <v>525</v>
      </c>
      <c r="H21" s="511"/>
      <c r="I21" s="398">
        <v>94.95</v>
      </c>
      <c r="J21" s="399">
        <v>68</v>
      </c>
      <c r="K21" s="245">
        <v>15</v>
      </c>
      <c r="L21" s="244" t="s">
        <v>9</v>
      </c>
      <c r="M21" s="232" t="s">
        <v>652</v>
      </c>
      <c r="N21" s="246"/>
    </row>
    <row r="22" spans="1:14" s="24" customFormat="1" ht="15" customHeight="1" x14ac:dyDescent="0.25">
      <c r="A22" s="817" t="s">
        <v>690</v>
      </c>
      <c r="B22" s="534" t="s">
        <v>305</v>
      </c>
      <c r="C22" s="718"/>
      <c r="D22" s="813"/>
      <c r="E22" s="497">
        <v>1974</v>
      </c>
      <c r="F22" s="509" t="s">
        <v>10</v>
      </c>
      <c r="G22" s="474" t="s">
        <v>565</v>
      </c>
      <c r="H22" s="473"/>
      <c r="I22" s="538">
        <v>94.85</v>
      </c>
      <c r="J22" s="539">
        <v>63</v>
      </c>
      <c r="K22" s="473">
        <v>14</v>
      </c>
      <c r="L22" s="244" t="s">
        <v>9</v>
      </c>
      <c r="M22" s="464" t="s">
        <v>660</v>
      </c>
      <c r="N22" s="564"/>
    </row>
    <row r="23" spans="1:14" s="24" customFormat="1" ht="15" customHeight="1" x14ac:dyDescent="0.25">
      <c r="A23" s="817" t="s">
        <v>691</v>
      </c>
      <c r="B23" s="388" t="s">
        <v>666</v>
      </c>
      <c r="C23" s="242"/>
      <c r="D23" s="243"/>
      <c r="E23" s="263">
        <v>1992</v>
      </c>
      <c r="F23" s="244" t="s">
        <v>9</v>
      </c>
      <c r="G23" s="399" t="s">
        <v>576</v>
      </c>
      <c r="H23" s="245"/>
      <c r="I23" s="91">
        <v>93.6</v>
      </c>
      <c r="J23" s="245">
        <v>62</v>
      </c>
      <c r="K23" s="245">
        <v>13</v>
      </c>
      <c r="L23" s="244" t="s">
        <v>9</v>
      </c>
      <c r="M23" s="241" t="s">
        <v>430</v>
      </c>
      <c r="N23" s="246"/>
    </row>
    <row r="24" spans="1:14" s="24" customFormat="1" ht="15" customHeight="1" x14ac:dyDescent="0.25">
      <c r="A24" s="817" t="s">
        <v>692</v>
      </c>
      <c r="B24" s="489" t="s">
        <v>653</v>
      </c>
      <c r="C24" s="478"/>
      <c r="D24" s="479"/>
      <c r="E24" s="480">
        <v>1992</v>
      </c>
      <c r="F24" s="505" t="s">
        <v>8</v>
      </c>
      <c r="G24" s="473" t="s">
        <v>32</v>
      </c>
      <c r="H24" s="469"/>
      <c r="I24" s="468">
        <v>90.9</v>
      </c>
      <c r="J24" s="231">
        <v>61</v>
      </c>
      <c r="K24" s="469">
        <v>12</v>
      </c>
      <c r="L24" s="818" t="s">
        <v>718</v>
      </c>
      <c r="M24" s="464" t="s">
        <v>654</v>
      </c>
      <c r="N24" s="802"/>
    </row>
    <row r="25" spans="1:14" s="24" customFormat="1" ht="18.75" customHeight="1" x14ac:dyDescent="0.25">
      <c r="A25" s="817" t="s">
        <v>693</v>
      </c>
      <c r="B25" s="387" t="s">
        <v>663</v>
      </c>
      <c r="C25" s="225"/>
      <c r="D25" s="226"/>
      <c r="E25" s="227">
        <v>1988</v>
      </c>
      <c r="F25" s="228" t="s">
        <v>8</v>
      </c>
      <c r="G25" s="231" t="s">
        <v>300</v>
      </c>
      <c r="H25" s="231"/>
      <c r="I25" s="230">
        <v>88.2</v>
      </c>
      <c r="J25" s="231">
        <v>60</v>
      </c>
      <c r="K25" s="231">
        <v>11</v>
      </c>
      <c r="L25" s="818" t="s">
        <v>718</v>
      </c>
      <c r="M25" s="224" t="s">
        <v>664</v>
      </c>
      <c r="N25" s="233"/>
    </row>
    <row r="26" spans="1:14" s="24" customFormat="1" ht="17.25" customHeight="1" x14ac:dyDescent="0.25">
      <c r="A26" s="817" t="s">
        <v>709</v>
      </c>
      <c r="B26" s="387" t="s">
        <v>655</v>
      </c>
      <c r="C26" s="225"/>
      <c r="D26" s="226"/>
      <c r="E26" s="227">
        <v>1999</v>
      </c>
      <c r="F26" s="228" t="s">
        <v>8</v>
      </c>
      <c r="G26" s="231" t="s">
        <v>35</v>
      </c>
      <c r="H26" s="231"/>
      <c r="I26" s="230">
        <v>93.1</v>
      </c>
      <c r="J26" s="231">
        <v>60</v>
      </c>
      <c r="K26" s="231">
        <v>10</v>
      </c>
      <c r="L26" s="818" t="s">
        <v>718</v>
      </c>
      <c r="M26" s="224" t="s">
        <v>656</v>
      </c>
      <c r="N26" s="233"/>
    </row>
    <row r="27" spans="1:14" s="24" customFormat="1" ht="15.75" customHeight="1" x14ac:dyDescent="0.25">
      <c r="A27" s="817" t="s">
        <v>710</v>
      </c>
      <c r="B27" s="909" t="s">
        <v>657</v>
      </c>
      <c r="C27" s="522"/>
      <c r="D27" s="523"/>
      <c r="E27" s="480">
        <v>1991</v>
      </c>
      <c r="F27" s="469" t="s">
        <v>8</v>
      </c>
      <c r="G27" s="469" t="s">
        <v>608</v>
      </c>
      <c r="H27" s="469"/>
      <c r="I27" s="468">
        <v>87.55</v>
      </c>
      <c r="J27" s="231">
        <v>47</v>
      </c>
      <c r="K27" s="469">
        <v>9</v>
      </c>
      <c r="L27" s="469"/>
      <c r="M27" s="909" t="s">
        <v>609</v>
      </c>
      <c r="N27" s="810"/>
    </row>
    <row r="28" spans="1:14" s="24" customFormat="1" ht="15.75" customHeight="1" x14ac:dyDescent="0.25">
      <c r="A28" s="817" t="s">
        <v>711</v>
      </c>
      <c r="B28" s="392" t="s">
        <v>227</v>
      </c>
      <c r="C28" s="302"/>
      <c r="D28" s="303"/>
      <c r="E28" s="809">
        <v>1986</v>
      </c>
      <c r="F28" s="578" t="s">
        <v>9</v>
      </c>
      <c r="G28" s="633" t="s">
        <v>594</v>
      </c>
      <c r="H28" s="471"/>
      <c r="I28" s="547">
        <v>89.75</v>
      </c>
      <c r="J28" s="466">
        <v>42</v>
      </c>
      <c r="K28" s="471">
        <v>8</v>
      </c>
      <c r="L28" s="578"/>
      <c r="M28" s="388" t="s">
        <v>606</v>
      </c>
      <c r="N28" s="803"/>
    </row>
    <row r="29" spans="1:14" x14ac:dyDescent="0.2">
      <c r="A29" s="17"/>
      <c r="B29" s="21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ht="13.5" x14ac:dyDescent="0.25">
      <c r="A30" s="214" t="s">
        <v>534</v>
      </c>
      <c r="B30" s="210"/>
      <c r="C30" s="210"/>
      <c r="D30" s="210"/>
      <c r="E30" s="210"/>
      <c r="F30" s="210"/>
      <c r="G30" s="210"/>
      <c r="H30" s="214" t="s">
        <v>40</v>
      </c>
      <c r="J30" s="17"/>
      <c r="K30" s="761"/>
      <c r="L30" s="475" t="s">
        <v>536</v>
      </c>
      <c r="N30" s="753"/>
    </row>
    <row r="31" spans="1:14" ht="13.5" x14ac:dyDescent="0.25">
      <c r="A31" s="214"/>
      <c r="B31" s="383"/>
      <c r="C31" s="761"/>
      <c r="D31" s="17"/>
      <c r="E31" s="17"/>
      <c r="F31" s="17"/>
      <c r="G31" s="17"/>
      <c r="H31" s="214"/>
      <c r="J31" s="17"/>
      <c r="K31" s="761"/>
      <c r="L31" s="476"/>
      <c r="M31" s="17"/>
      <c r="N31" s="17"/>
    </row>
    <row r="32" spans="1:14" ht="13.5" x14ac:dyDescent="0.25">
      <c r="A32" s="214" t="s">
        <v>535</v>
      </c>
      <c r="B32" s="210"/>
      <c r="C32" s="210"/>
      <c r="D32" s="210"/>
      <c r="E32" s="210"/>
      <c r="F32" s="210"/>
      <c r="G32" s="210"/>
      <c r="H32" s="214" t="s">
        <v>41</v>
      </c>
      <c r="J32" s="210"/>
      <c r="L32" s="477" t="s">
        <v>537</v>
      </c>
      <c r="M32" s="753"/>
      <c r="N32" s="753"/>
    </row>
  </sheetData>
  <sortState ref="B18:N28">
    <sortCondition descending="1" ref="J18:J28"/>
  </sortState>
  <mergeCells count="27"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  <mergeCell ref="A8:B8"/>
    <mergeCell ref="D8:K8"/>
    <mergeCell ref="L8:N8"/>
    <mergeCell ref="A9:B9"/>
    <mergeCell ref="C9:K9"/>
    <mergeCell ref="L9:N9"/>
    <mergeCell ref="B1:N1"/>
    <mergeCell ref="B2:N2"/>
    <mergeCell ref="B3:N3"/>
    <mergeCell ref="B4:N4"/>
    <mergeCell ref="A7:B7"/>
    <mergeCell ref="L7:N7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zoomScaleSheetLayoutView="100" workbookViewId="0">
      <selection activeCell="L9" sqref="L9:N9"/>
    </sheetView>
  </sheetViews>
  <sheetFormatPr defaultRowHeight="12.75" x14ac:dyDescent="0.2"/>
  <cols>
    <col min="1" max="1" width="9.140625" style="416" customWidth="1"/>
    <col min="2" max="2" width="9.140625" style="167" customWidth="1"/>
    <col min="4" max="4" width="6.5703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7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2</v>
      </c>
      <c r="M5" s="971"/>
      <c r="N5" s="971"/>
    </row>
    <row r="6" spans="1:14" ht="15.75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5.75" x14ac:dyDescent="0.25">
      <c r="A8" s="986">
        <v>110</v>
      </c>
      <c r="B8" s="986"/>
      <c r="C8" s="434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5.75" x14ac:dyDescent="0.25">
      <c r="A9" s="986"/>
      <c r="B9" s="986"/>
      <c r="C9" s="434"/>
      <c r="D9" s="980" t="s">
        <v>11</v>
      </c>
      <c r="E9" s="981"/>
      <c r="F9" s="981"/>
      <c r="G9" s="981"/>
      <c r="H9" s="981"/>
      <c r="I9" s="981"/>
      <c r="J9" s="981"/>
      <c r="K9" s="981"/>
      <c r="L9" s="4">
        <v>58</v>
      </c>
      <c r="M9" s="4">
        <v>62</v>
      </c>
      <c r="N9" s="4">
        <v>84</v>
      </c>
    </row>
    <row r="10" spans="1:14" ht="16.5" thickBot="1" x14ac:dyDescent="0.3">
      <c r="A10" s="5"/>
      <c r="B10" s="384"/>
      <c r="C10" s="434"/>
      <c r="D10" s="980" t="s">
        <v>233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5.75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12"/>
      <c r="M11" s="12"/>
      <c r="N11" s="12"/>
    </row>
    <row r="12" spans="1:14" ht="13.5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x14ac:dyDescent="0.2">
      <c r="A13" s="42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18</v>
      </c>
      <c r="G14" s="972" t="s">
        <v>19</v>
      </c>
      <c r="H14" s="973" t="s">
        <v>20</v>
      </c>
      <c r="I14" s="972" t="s">
        <v>21</v>
      </c>
      <c r="J14" s="972" t="s">
        <v>22</v>
      </c>
      <c r="K14" s="972" t="s">
        <v>23</v>
      </c>
      <c r="L14" s="972" t="s">
        <v>24</v>
      </c>
      <c r="M14" s="972" t="s">
        <v>25</v>
      </c>
      <c r="N14" s="972"/>
    </row>
    <row r="15" spans="1:14" x14ac:dyDescent="0.2">
      <c r="A15" s="972"/>
      <c r="B15" s="973"/>
      <c r="C15" s="973"/>
      <c r="D15" s="973"/>
      <c r="E15" s="973"/>
      <c r="F15" s="973"/>
      <c r="G15" s="973"/>
      <c r="H15" s="979"/>
      <c r="I15" s="973"/>
      <c r="J15" s="973"/>
      <c r="K15" s="973"/>
      <c r="L15" s="973"/>
      <c r="M15" s="973"/>
      <c r="N15" s="973"/>
    </row>
    <row r="16" spans="1:14" s="24" customFormat="1" ht="15" customHeight="1" x14ac:dyDescent="0.25">
      <c r="A16" s="18">
        <v>1</v>
      </c>
      <c r="B16" s="390" t="s">
        <v>234</v>
      </c>
      <c r="C16" s="225"/>
      <c r="D16" s="226"/>
      <c r="E16" s="283">
        <v>1987</v>
      </c>
      <c r="F16" s="228" t="s">
        <v>10</v>
      </c>
      <c r="G16" s="245" t="s">
        <v>86</v>
      </c>
      <c r="H16" s="294" t="s">
        <v>31</v>
      </c>
      <c r="I16" s="230">
        <v>104.65</v>
      </c>
      <c r="J16" s="231">
        <v>87</v>
      </c>
      <c r="K16" s="231">
        <v>20</v>
      </c>
      <c r="L16" s="260" t="s">
        <v>10</v>
      </c>
      <c r="M16" s="224" t="s">
        <v>235</v>
      </c>
      <c r="N16" s="233"/>
    </row>
    <row r="17" spans="1:14" s="24" customFormat="1" ht="21" customHeight="1" x14ac:dyDescent="0.25">
      <c r="A17" s="18">
        <f>A16+1</f>
        <v>2</v>
      </c>
      <c r="B17" s="389" t="s">
        <v>236</v>
      </c>
      <c r="C17" s="276"/>
      <c r="D17" s="277"/>
      <c r="E17" s="289">
        <v>1985</v>
      </c>
      <c r="F17" s="245" t="s">
        <v>9</v>
      </c>
      <c r="G17" s="292" t="s">
        <v>215</v>
      </c>
      <c r="H17" s="216" t="s">
        <v>216</v>
      </c>
      <c r="I17" s="230">
        <v>107.75</v>
      </c>
      <c r="J17" s="231">
        <v>84</v>
      </c>
      <c r="K17" s="231">
        <v>18</v>
      </c>
      <c r="L17" s="260" t="s">
        <v>10</v>
      </c>
      <c r="M17" s="262" t="s">
        <v>217</v>
      </c>
      <c r="N17" s="297"/>
    </row>
    <row r="18" spans="1:14" s="24" customFormat="1" ht="20.25" customHeight="1" x14ac:dyDescent="0.25">
      <c r="A18" s="18">
        <f t="shared" ref="A18:A24" si="0">A17+1</f>
        <v>3</v>
      </c>
      <c r="B18" s="387" t="s">
        <v>74</v>
      </c>
      <c r="C18" s="225"/>
      <c r="D18" s="226"/>
      <c r="E18" s="227">
        <v>1986</v>
      </c>
      <c r="F18" s="228" t="s">
        <v>9</v>
      </c>
      <c r="G18" s="231" t="s">
        <v>122</v>
      </c>
      <c r="H18" s="235" t="s">
        <v>123</v>
      </c>
      <c r="I18" s="230">
        <v>100.25</v>
      </c>
      <c r="J18" s="231">
        <v>74</v>
      </c>
      <c r="K18" s="231">
        <v>16</v>
      </c>
      <c r="L18" s="228" t="s">
        <v>9</v>
      </c>
      <c r="M18" s="224" t="s">
        <v>39</v>
      </c>
      <c r="N18" s="233"/>
    </row>
    <row r="19" spans="1:14" s="24" customFormat="1" ht="15" x14ac:dyDescent="0.25">
      <c r="A19" s="18">
        <f t="shared" si="0"/>
        <v>4</v>
      </c>
      <c r="B19" s="387" t="s">
        <v>317</v>
      </c>
      <c r="C19" s="225"/>
      <c r="D19" s="226"/>
      <c r="E19" s="161">
        <v>1995</v>
      </c>
      <c r="F19" s="161" t="s">
        <v>9</v>
      </c>
      <c r="G19" s="228" t="s">
        <v>172</v>
      </c>
      <c r="H19" s="238"/>
      <c r="I19" s="200">
        <v>95.1</v>
      </c>
      <c r="J19" s="216">
        <v>69</v>
      </c>
      <c r="K19" s="220">
        <v>15</v>
      </c>
      <c r="L19" s="228" t="s">
        <v>9</v>
      </c>
      <c r="M19" s="387" t="s">
        <v>318</v>
      </c>
      <c r="N19" s="223"/>
    </row>
    <row r="20" spans="1:14" s="24" customFormat="1" ht="14.25" customHeight="1" x14ac:dyDescent="0.25">
      <c r="A20" s="18">
        <f t="shared" si="0"/>
        <v>5</v>
      </c>
      <c r="B20" s="489" t="s">
        <v>240</v>
      </c>
      <c r="C20" s="518"/>
      <c r="D20" s="519"/>
      <c r="E20" s="524">
        <v>1976</v>
      </c>
      <c r="F20" s="525" t="s">
        <v>8</v>
      </c>
      <c r="G20" s="527" t="s">
        <v>32</v>
      </c>
      <c r="H20" s="298"/>
      <c r="I20" s="529">
        <v>99.65</v>
      </c>
      <c r="J20" s="298">
        <v>64</v>
      </c>
      <c r="K20" s="298">
        <v>14</v>
      </c>
      <c r="L20" s="298" t="s">
        <v>443</v>
      </c>
      <c r="M20" s="531" t="s">
        <v>241</v>
      </c>
      <c r="N20" s="299"/>
    </row>
    <row r="21" spans="1:14" s="24" customFormat="1" ht="12.75" customHeight="1" x14ac:dyDescent="0.25">
      <c r="A21" s="18">
        <f t="shared" si="0"/>
        <v>6</v>
      </c>
      <c r="B21" s="387" t="s">
        <v>419</v>
      </c>
      <c r="C21" s="225"/>
      <c r="D21" s="226"/>
      <c r="E21" s="161">
        <v>1995</v>
      </c>
      <c r="F21" s="161" t="s">
        <v>9</v>
      </c>
      <c r="G21" s="228" t="s">
        <v>487</v>
      </c>
      <c r="H21" s="238"/>
      <c r="I21" s="200">
        <v>96.85</v>
      </c>
      <c r="J21" s="216">
        <v>61</v>
      </c>
      <c r="K21" s="220">
        <v>13</v>
      </c>
      <c r="L21" s="220"/>
      <c r="M21" s="387" t="s">
        <v>427</v>
      </c>
      <c r="N21" s="223"/>
    </row>
    <row r="22" spans="1:14" s="24" customFormat="1" ht="15.75" customHeight="1" x14ac:dyDescent="0.2">
      <c r="A22" s="18">
        <f t="shared" si="0"/>
        <v>7</v>
      </c>
      <c r="B22" s="521" t="s">
        <v>243</v>
      </c>
      <c r="C22" s="522"/>
      <c r="D22" s="523"/>
      <c r="E22" s="480">
        <v>1995</v>
      </c>
      <c r="F22" s="469" t="s">
        <v>9</v>
      </c>
      <c r="G22" s="469" t="s">
        <v>35</v>
      </c>
      <c r="H22" s="269"/>
      <c r="I22" s="357">
        <v>120.25</v>
      </c>
      <c r="J22" s="53">
        <v>45</v>
      </c>
      <c r="K22" s="53">
        <v>12</v>
      </c>
      <c r="L22" s="49"/>
      <c r="M22" s="521" t="s">
        <v>390</v>
      </c>
      <c r="N22" s="223"/>
    </row>
    <row r="23" spans="1:14" s="24" customFormat="1" ht="15.75" customHeight="1" x14ac:dyDescent="0.25">
      <c r="A23" s="18">
        <f t="shared" si="0"/>
        <v>8</v>
      </c>
      <c r="B23" s="387" t="s">
        <v>242</v>
      </c>
      <c r="C23" s="225"/>
      <c r="D23" s="226"/>
      <c r="E23" s="289">
        <v>1990</v>
      </c>
      <c r="F23" s="511" t="s">
        <v>8</v>
      </c>
      <c r="G23" s="292" t="s">
        <v>86</v>
      </c>
      <c r="H23" s="294" t="s">
        <v>31</v>
      </c>
      <c r="I23" s="230">
        <v>106.65</v>
      </c>
      <c r="J23" s="231">
        <v>43</v>
      </c>
      <c r="K23" s="231">
        <v>11</v>
      </c>
      <c r="L23" s="231"/>
      <c r="M23" s="224" t="s">
        <v>209</v>
      </c>
      <c r="N23" s="233"/>
    </row>
    <row r="24" spans="1:14" s="24" customFormat="1" ht="15.75" customHeight="1" x14ac:dyDescent="0.2">
      <c r="A24" s="435">
        <f t="shared" si="0"/>
        <v>9</v>
      </c>
      <c r="B24" s="521" t="s">
        <v>386</v>
      </c>
      <c r="C24" s="522"/>
      <c r="D24" s="523"/>
      <c r="E24" s="510">
        <v>1994</v>
      </c>
      <c r="F24" s="511" t="s">
        <v>9</v>
      </c>
      <c r="G24" s="528" t="s">
        <v>33</v>
      </c>
      <c r="H24" s="269"/>
      <c r="I24" s="357">
        <v>99.35</v>
      </c>
      <c r="J24" s="353">
        <v>22</v>
      </c>
      <c r="K24" s="53">
        <v>10</v>
      </c>
      <c r="L24" s="49"/>
      <c r="M24" s="533" t="s">
        <v>488</v>
      </c>
      <c r="N24" s="223"/>
    </row>
    <row r="25" spans="1:14" ht="15" x14ac:dyDescent="0.25">
      <c r="A25" s="290">
        <v>10</v>
      </c>
      <c r="B25" s="995" t="s">
        <v>387</v>
      </c>
      <c r="C25" s="996"/>
      <c r="D25" s="997"/>
      <c r="E25" s="480">
        <v>1983</v>
      </c>
      <c r="F25" s="469" t="s">
        <v>9</v>
      </c>
      <c r="G25" s="469" t="s">
        <v>32</v>
      </c>
      <c r="H25" s="28" t="s">
        <v>31</v>
      </c>
      <c r="I25" s="30">
        <v>99.05</v>
      </c>
      <c r="J25" s="353">
        <v>20</v>
      </c>
      <c r="K25" s="53" t="s">
        <v>453</v>
      </c>
      <c r="L25" s="49"/>
      <c r="M25" s="532" t="s">
        <v>389</v>
      </c>
      <c r="N25" s="530"/>
    </row>
    <row r="26" spans="1:14" x14ac:dyDescent="0.2">
      <c r="A26" s="427"/>
      <c r="B26" s="333"/>
      <c r="C26" s="333"/>
      <c r="D26" s="426"/>
      <c r="E26" s="170"/>
      <c r="F26" s="170"/>
      <c r="G26" s="170"/>
      <c r="H26" s="17"/>
      <c r="I26" s="17"/>
      <c r="J26" s="17"/>
      <c r="K26" s="17"/>
      <c r="L26" s="17"/>
      <c r="M26" s="17"/>
      <c r="N26" s="17"/>
    </row>
    <row r="27" spans="1:14" ht="13.5" x14ac:dyDescent="0.25">
      <c r="A27" s="214" t="s">
        <v>480</v>
      </c>
      <c r="B27" s="210"/>
      <c r="C27" s="210"/>
      <c r="D27" s="210"/>
      <c r="E27" s="210"/>
      <c r="F27" s="210"/>
      <c r="G27" s="210"/>
      <c r="H27" s="214" t="s">
        <v>40</v>
      </c>
      <c r="J27" s="17"/>
      <c r="K27" s="205"/>
      <c r="L27" s="475" t="s">
        <v>479</v>
      </c>
      <c r="N27" s="205"/>
    </row>
    <row r="28" spans="1:14" ht="13.5" x14ac:dyDescent="0.25">
      <c r="A28" s="214"/>
      <c r="B28" s="383"/>
      <c r="C28" s="205"/>
      <c r="D28" s="17"/>
      <c r="E28" s="17"/>
      <c r="F28" s="17"/>
      <c r="G28" s="17"/>
      <c r="H28" s="214"/>
      <c r="J28" s="17"/>
      <c r="K28" s="205"/>
      <c r="L28" s="476"/>
      <c r="M28" s="17"/>
      <c r="N28" s="17"/>
    </row>
    <row r="29" spans="1:14" ht="13.5" x14ac:dyDescent="0.25">
      <c r="A29" s="214" t="s">
        <v>437</v>
      </c>
      <c r="B29" s="210"/>
      <c r="C29" s="210"/>
      <c r="D29" s="210"/>
      <c r="E29" s="210"/>
      <c r="F29" s="210"/>
      <c r="G29" s="210"/>
      <c r="H29" s="214" t="s">
        <v>41</v>
      </c>
      <c r="J29" s="210"/>
      <c r="L29" s="477" t="s">
        <v>481</v>
      </c>
      <c r="M29" s="205"/>
      <c r="N29" s="205"/>
    </row>
  </sheetData>
  <mergeCells count="28">
    <mergeCell ref="B25:D25"/>
    <mergeCell ref="D10:K10"/>
    <mergeCell ref="G14:G15"/>
    <mergeCell ref="H14:H15"/>
    <mergeCell ref="I14:I15"/>
    <mergeCell ref="J14:J15"/>
    <mergeCell ref="K14:K15"/>
    <mergeCell ref="L7:N7"/>
    <mergeCell ref="A5:C5"/>
    <mergeCell ref="L5:N5"/>
    <mergeCell ref="A14:A15"/>
    <mergeCell ref="B14:D15"/>
    <mergeCell ref="E14:E15"/>
    <mergeCell ref="F14:F15"/>
    <mergeCell ref="L14:L15"/>
    <mergeCell ref="M14:N15"/>
    <mergeCell ref="A8:B9"/>
    <mergeCell ref="D8:K8"/>
    <mergeCell ref="D9:K9"/>
    <mergeCell ref="A7:B7"/>
    <mergeCell ref="C7:K7"/>
    <mergeCell ref="A1:N1"/>
    <mergeCell ref="A2:N2"/>
    <mergeCell ref="A3:N3"/>
    <mergeCell ref="A4:N4"/>
    <mergeCell ref="L6:N6"/>
    <mergeCell ref="A6:C6"/>
    <mergeCell ref="D6:K6"/>
  </mergeCells>
  <phoneticPr fontId="33" type="noConversion"/>
  <pageMargins left="0.7" right="0.7" top="0.75" bottom="0.75" header="0.3" footer="0.3"/>
  <pageSetup paperSize="9" scale="87" orientation="landscape" r:id="rId1"/>
  <colBreaks count="1" manualBreakCount="1">
    <brk id="1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topLeftCell="A11" zoomScaleSheetLayoutView="100" workbookViewId="0">
      <selection activeCell="M24" sqref="M24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5703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25.710937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0"/>
      <c r="C5" s="750"/>
      <c r="D5" s="750"/>
      <c r="E5" s="750"/>
      <c r="F5" s="750"/>
      <c r="G5" s="750"/>
      <c r="H5" s="750"/>
      <c r="I5" s="750"/>
      <c r="J5" s="750"/>
      <c r="K5" s="750"/>
      <c r="L5" s="750"/>
      <c r="M5" s="750"/>
      <c r="N5" s="750"/>
    </row>
    <row r="6" spans="1:14" ht="28.15" customHeight="1" x14ac:dyDescent="0.2">
      <c r="A6" s="186"/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  <c r="M6" s="750"/>
      <c r="N6" s="750"/>
    </row>
    <row r="7" spans="1:14" ht="13.5" x14ac:dyDescent="0.25">
      <c r="A7" s="970" t="s">
        <v>681</v>
      </c>
      <c r="B7" s="970"/>
      <c r="C7" s="752"/>
      <c r="D7" s="1"/>
      <c r="E7" s="1"/>
      <c r="F7" s="1"/>
      <c r="G7" s="1"/>
      <c r="H7" s="1"/>
      <c r="I7" s="1"/>
      <c r="J7" s="1"/>
      <c r="K7" s="1"/>
      <c r="L7" s="971" t="s">
        <v>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985">
        <v>110</v>
      </c>
      <c r="B10" s="985"/>
      <c r="C10" s="751"/>
      <c r="D10" s="980" t="s">
        <v>533</v>
      </c>
      <c r="E10" s="981"/>
      <c r="F10" s="981"/>
      <c r="G10" s="981"/>
      <c r="H10" s="981"/>
      <c r="I10" s="981"/>
      <c r="J10" s="981"/>
      <c r="K10" s="981"/>
      <c r="L10" s="749" t="s">
        <v>8</v>
      </c>
      <c r="M10" s="749" t="s">
        <v>9</v>
      </c>
      <c r="N10" s="749" t="s">
        <v>10</v>
      </c>
    </row>
    <row r="11" spans="1:14" ht="15.75" x14ac:dyDescent="0.25">
      <c r="A11" s="985"/>
      <c r="B11" s="985"/>
      <c r="C11" s="751"/>
      <c r="D11" s="980" t="s">
        <v>11</v>
      </c>
      <c r="E11" s="981"/>
      <c r="F11" s="981"/>
      <c r="G11" s="981"/>
      <c r="H11" s="981"/>
      <c r="I11" s="981"/>
      <c r="J11" s="981"/>
      <c r="K11" s="981"/>
      <c r="L11" s="4">
        <v>58</v>
      </c>
      <c r="M11" s="4">
        <v>62</v>
      </c>
      <c r="N11" s="4">
        <v>84</v>
      </c>
    </row>
    <row r="12" spans="1:14" ht="16.5" thickBot="1" x14ac:dyDescent="0.3">
      <c r="A12" s="5"/>
      <c r="B12" s="384"/>
      <c r="C12" s="751"/>
      <c r="D12" s="980" t="s">
        <v>233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0"/>
      <c r="G13" s="750"/>
      <c r="H13" s="750"/>
      <c r="I13" s="750"/>
      <c r="J13" s="750"/>
      <c r="K13" s="750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0"/>
      <c r="G14" s="750"/>
      <c r="H14" s="750"/>
      <c r="I14" s="750"/>
      <c r="J14" s="750"/>
      <c r="K14" s="750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ht="15" customHeight="1" x14ac:dyDescent="0.25">
      <c r="A18" s="822" t="s">
        <v>686</v>
      </c>
      <c r="B18" s="800" t="s">
        <v>670</v>
      </c>
      <c r="C18" s="522"/>
      <c r="D18" s="523"/>
      <c r="E18" s="480">
        <v>1987</v>
      </c>
      <c r="F18" s="469" t="s">
        <v>10</v>
      </c>
      <c r="G18" s="469" t="s">
        <v>565</v>
      </c>
      <c r="H18" s="469"/>
      <c r="I18" s="468">
        <v>106.45</v>
      </c>
      <c r="J18" s="469">
        <v>82</v>
      </c>
      <c r="K18" s="469">
        <v>20</v>
      </c>
      <c r="L18" s="228" t="s">
        <v>9</v>
      </c>
      <c r="M18" s="488" t="s">
        <v>671</v>
      </c>
      <c r="N18" s="820"/>
    </row>
    <row r="19" spans="1:14" ht="17.25" customHeight="1" x14ac:dyDescent="0.25">
      <c r="A19" s="822" t="s">
        <v>687</v>
      </c>
      <c r="B19" s="489" t="s">
        <v>675</v>
      </c>
      <c r="C19" s="478"/>
      <c r="D19" s="479"/>
      <c r="E19" s="480">
        <v>1990</v>
      </c>
      <c r="F19" s="505" t="s">
        <v>10</v>
      </c>
      <c r="G19" s="228" t="s">
        <v>33</v>
      </c>
      <c r="H19" s="469"/>
      <c r="I19" s="468">
        <v>95.35</v>
      </c>
      <c r="J19" s="469">
        <v>80</v>
      </c>
      <c r="K19" s="469">
        <v>18</v>
      </c>
      <c r="L19" s="228" t="s">
        <v>9</v>
      </c>
      <c r="M19" s="819" t="s">
        <v>34</v>
      </c>
      <c r="N19" s="821"/>
    </row>
    <row r="20" spans="1:14" ht="17.25" customHeight="1" x14ac:dyDescent="0.25">
      <c r="A20" s="822" t="s">
        <v>688</v>
      </c>
      <c r="B20" s="387" t="s">
        <v>668</v>
      </c>
      <c r="C20" s="225"/>
      <c r="D20" s="226"/>
      <c r="E20" s="227">
        <v>1996</v>
      </c>
      <c r="F20" s="228" t="s">
        <v>9</v>
      </c>
      <c r="G20" s="245" t="s">
        <v>565</v>
      </c>
      <c r="H20" s="231"/>
      <c r="I20" s="230">
        <v>96.3</v>
      </c>
      <c r="J20" s="231">
        <v>75</v>
      </c>
      <c r="K20" s="231">
        <v>16</v>
      </c>
      <c r="L20" s="228" t="s">
        <v>9</v>
      </c>
      <c r="M20" s="241" t="s">
        <v>669</v>
      </c>
      <c r="N20" s="233"/>
    </row>
    <row r="21" spans="1:14" ht="16.5" customHeight="1" x14ac:dyDescent="0.25">
      <c r="A21" s="822" t="s">
        <v>689</v>
      </c>
      <c r="B21" s="388" t="s">
        <v>661</v>
      </c>
      <c r="C21" s="242"/>
      <c r="D21" s="243"/>
      <c r="E21" s="263">
        <v>1989</v>
      </c>
      <c r="F21" s="244" t="s">
        <v>9</v>
      </c>
      <c r="G21" s="245" t="s">
        <v>149</v>
      </c>
      <c r="H21" s="245"/>
      <c r="I21" s="91">
        <v>99</v>
      </c>
      <c r="J21" s="245">
        <v>71</v>
      </c>
      <c r="K21" s="245">
        <v>15</v>
      </c>
      <c r="L21" s="228" t="s">
        <v>9</v>
      </c>
      <c r="M21" s="241" t="s">
        <v>662</v>
      </c>
      <c r="N21" s="246"/>
    </row>
    <row r="22" spans="1:14" ht="17.25" customHeight="1" x14ac:dyDescent="0.25">
      <c r="A22" s="822" t="s">
        <v>690</v>
      </c>
      <c r="B22" s="392" t="s">
        <v>74</v>
      </c>
      <c r="C22" s="302"/>
      <c r="D22" s="303"/>
      <c r="E22" s="809">
        <v>1986</v>
      </c>
      <c r="F22" s="578" t="s">
        <v>9</v>
      </c>
      <c r="G22" s="633" t="s">
        <v>594</v>
      </c>
      <c r="H22" s="471"/>
      <c r="I22" s="547">
        <v>107.8</v>
      </c>
      <c r="J22" s="633">
        <v>67</v>
      </c>
      <c r="K22" s="231">
        <v>14</v>
      </c>
      <c r="L22" s="228" t="s">
        <v>9</v>
      </c>
      <c r="M22" s="388" t="s">
        <v>606</v>
      </c>
      <c r="N22" s="803"/>
    </row>
    <row r="23" spans="1:14" ht="15.75" customHeight="1" x14ac:dyDescent="0.25">
      <c r="A23" s="822" t="s">
        <v>691</v>
      </c>
      <c r="B23" s="388" t="s">
        <v>98</v>
      </c>
      <c r="C23" s="242"/>
      <c r="D23" s="243"/>
      <c r="E23" s="397">
        <v>1987</v>
      </c>
      <c r="F23" s="244" t="s">
        <v>9</v>
      </c>
      <c r="G23" s="399" t="s">
        <v>33</v>
      </c>
      <c r="H23" s="245"/>
      <c r="I23" s="398">
        <v>102</v>
      </c>
      <c r="J23" s="399">
        <v>60</v>
      </c>
      <c r="K23" s="245">
        <v>13</v>
      </c>
      <c r="L23" s="473" t="s">
        <v>8</v>
      </c>
      <c r="M23" s="241" t="s">
        <v>34</v>
      </c>
      <c r="N23" s="246"/>
    </row>
    <row r="24" spans="1:14" s="24" customFormat="1" ht="15" customHeight="1" x14ac:dyDescent="0.25">
      <c r="A24" s="817" t="s">
        <v>692</v>
      </c>
      <c r="B24" s="387" t="s">
        <v>240</v>
      </c>
      <c r="C24" s="225"/>
      <c r="D24" s="226"/>
      <c r="E24" s="227">
        <v>1976</v>
      </c>
      <c r="F24" s="228" t="s">
        <v>8</v>
      </c>
      <c r="G24" s="228" t="s">
        <v>32</v>
      </c>
      <c r="H24" s="161"/>
      <c r="I24" s="230">
        <v>103.35</v>
      </c>
      <c r="J24" s="231">
        <v>56</v>
      </c>
      <c r="K24" s="231">
        <v>12</v>
      </c>
      <c r="L24" s="467"/>
      <c r="M24" s="248" t="s">
        <v>241</v>
      </c>
      <c r="N24" s="233"/>
    </row>
    <row r="25" spans="1:14" s="24" customFormat="1" ht="14.25" customHeight="1" x14ac:dyDescent="0.25">
      <c r="A25" s="817" t="s">
        <v>693</v>
      </c>
      <c r="B25" s="489" t="s">
        <v>667</v>
      </c>
      <c r="C25" s="478"/>
      <c r="D25" s="479"/>
      <c r="E25" s="480">
        <v>1990</v>
      </c>
      <c r="F25" s="505" t="s">
        <v>9</v>
      </c>
      <c r="G25" s="469" t="s">
        <v>35</v>
      </c>
      <c r="H25" s="469"/>
      <c r="I25" s="468">
        <v>95.45</v>
      </c>
      <c r="J25" s="466">
        <v>52</v>
      </c>
      <c r="K25" s="245">
        <v>11</v>
      </c>
      <c r="L25" s="469"/>
      <c r="M25" s="462" t="s">
        <v>210</v>
      </c>
      <c r="N25" s="802"/>
    </row>
    <row r="26" spans="1:14" s="24" customFormat="1" ht="15" x14ac:dyDescent="0.25">
      <c r="A26" s="817" t="s">
        <v>709</v>
      </c>
      <c r="B26" s="487" t="s">
        <v>672</v>
      </c>
      <c r="C26" s="499"/>
      <c r="D26" s="500"/>
      <c r="E26" s="496">
        <v>1981</v>
      </c>
      <c r="F26" s="496" t="s">
        <v>9</v>
      </c>
      <c r="G26" s="471" t="s">
        <v>673</v>
      </c>
      <c r="H26" s="496"/>
      <c r="I26" s="470">
        <v>114.95</v>
      </c>
      <c r="J26" s="466">
        <v>45</v>
      </c>
      <c r="K26" s="231">
        <v>10</v>
      </c>
      <c r="L26" s="469"/>
      <c r="M26" s="388" t="s">
        <v>674</v>
      </c>
      <c r="N26" s="803"/>
    </row>
    <row r="27" spans="1:14" x14ac:dyDescent="0.2">
      <c r="A27" s="17"/>
      <c r="B27" s="215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ht="13.5" x14ac:dyDescent="0.25">
      <c r="A28" s="214" t="s">
        <v>534</v>
      </c>
      <c r="B28" s="210"/>
      <c r="C28" s="210"/>
      <c r="D28" s="210"/>
      <c r="E28" s="210"/>
      <c r="F28" s="210"/>
      <c r="G28" s="210"/>
      <c r="H28" s="214" t="s">
        <v>40</v>
      </c>
      <c r="J28" s="17"/>
      <c r="K28" s="761"/>
      <c r="L28" s="475" t="s">
        <v>536</v>
      </c>
      <c r="N28" s="753"/>
    </row>
    <row r="29" spans="1:14" ht="13.5" x14ac:dyDescent="0.25">
      <c r="A29" s="214"/>
      <c r="B29" s="383"/>
      <c r="C29" s="761"/>
      <c r="D29" s="17"/>
      <c r="E29" s="17"/>
      <c r="F29" s="17"/>
      <c r="G29" s="17"/>
      <c r="H29" s="214"/>
      <c r="J29" s="17"/>
      <c r="K29" s="761"/>
      <c r="L29" s="476"/>
      <c r="M29" s="17"/>
      <c r="N29" s="17"/>
    </row>
    <row r="30" spans="1:14" ht="13.5" x14ac:dyDescent="0.25">
      <c r="A30" s="214" t="s">
        <v>535</v>
      </c>
      <c r="B30" s="210"/>
      <c r="C30" s="210"/>
      <c r="D30" s="210"/>
      <c r="E30" s="210"/>
      <c r="F30" s="210"/>
      <c r="G30" s="210"/>
      <c r="H30" s="214" t="s">
        <v>41</v>
      </c>
      <c r="J30" s="210"/>
      <c r="L30" s="477" t="s">
        <v>537</v>
      </c>
      <c r="M30" s="753"/>
      <c r="N30" s="753"/>
    </row>
  </sheetData>
  <sortState ref="B18:N26">
    <sortCondition descending="1" ref="J18:J26"/>
  </sortState>
  <mergeCells count="27"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  <mergeCell ref="A8:B8"/>
    <mergeCell ref="D8:K8"/>
    <mergeCell ref="L8:N8"/>
    <mergeCell ref="A9:B9"/>
    <mergeCell ref="C9:K9"/>
    <mergeCell ref="L9:N9"/>
    <mergeCell ref="B1:N1"/>
    <mergeCell ref="B2:N2"/>
    <mergeCell ref="B3:N3"/>
    <mergeCell ref="B4:N4"/>
    <mergeCell ref="A7:B7"/>
    <mergeCell ref="L7:N7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  <colBreaks count="1" manualBreakCount="1">
    <brk id="14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29"/>
  <sheetViews>
    <sheetView zoomScale="110" zoomScaleNormal="110" zoomScaleSheetLayoutView="110" workbookViewId="0">
      <selection activeCell="L9" sqref="L9:N9"/>
    </sheetView>
  </sheetViews>
  <sheetFormatPr defaultRowHeight="12.75" x14ac:dyDescent="0.2"/>
  <cols>
    <col min="1" max="1" width="6.140625" customWidth="1"/>
    <col min="2" max="2" width="10.7109375" style="167" customWidth="1"/>
    <col min="3" max="3" width="10.42578125" customWidth="1"/>
    <col min="4" max="4" width="4.7109375" customWidth="1"/>
    <col min="5" max="5" width="8" customWidth="1"/>
    <col min="6" max="6" width="7.42578125" customWidth="1"/>
    <col min="7" max="7" width="21.42578125" customWidth="1"/>
    <col min="8" max="8" width="11.42578125" customWidth="1"/>
    <col min="9" max="9" width="7.42578125" customWidth="1"/>
    <col min="10" max="10" width="8.42578125" customWidth="1"/>
    <col min="11" max="11" width="11" customWidth="1"/>
    <col min="12" max="12" width="8.28515625" customWidth="1"/>
    <col min="13" max="13" width="8.7109375" customWidth="1"/>
    <col min="14" max="14" width="21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42</v>
      </c>
      <c r="M5" s="971"/>
      <c r="N5" s="971"/>
    </row>
    <row r="6" spans="1:14" ht="13.5" customHeight="1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3.5" customHeight="1" x14ac:dyDescent="0.25">
      <c r="A8" s="1000">
        <v>192</v>
      </c>
      <c r="B8" s="1001"/>
      <c r="C8" s="2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3.5" customHeight="1" x14ac:dyDescent="0.25">
      <c r="A9" s="1002"/>
      <c r="B9" s="1003"/>
      <c r="C9" s="2"/>
      <c r="D9" s="980" t="s">
        <v>43</v>
      </c>
      <c r="E9" s="980"/>
      <c r="F9" s="980"/>
      <c r="G9" s="980"/>
      <c r="H9" s="980"/>
      <c r="I9" s="980"/>
      <c r="J9" s="980"/>
      <c r="K9" s="980"/>
      <c r="L9" s="4">
        <v>60</v>
      </c>
      <c r="M9" s="4">
        <v>105</v>
      </c>
      <c r="N9" s="4">
        <v>135</v>
      </c>
    </row>
    <row r="10" spans="1:14" ht="20.25" customHeight="1" thickBot="1" x14ac:dyDescent="0.3">
      <c r="A10" s="5"/>
      <c r="B10" s="384"/>
      <c r="C10" s="2"/>
      <c r="D10" s="980" t="s">
        <v>44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3.5" customHeight="1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6"/>
      <c r="M11" s="6"/>
      <c r="N11" s="6"/>
    </row>
    <row r="12" spans="1:14" ht="13.5" customHeight="1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ht="10.5" customHeight="1" x14ac:dyDescent="0.2">
      <c r="A13" s="38"/>
      <c r="B13" s="39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s="36" customFormat="1" ht="10.5" customHeight="1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45</v>
      </c>
      <c r="G14" s="972" t="s">
        <v>19</v>
      </c>
      <c r="H14" s="973" t="s">
        <v>20</v>
      </c>
      <c r="I14" s="972" t="s">
        <v>21</v>
      </c>
      <c r="J14" s="972" t="s">
        <v>46</v>
      </c>
      <c r="K14" s="972" t="s">
        <v>23</v>
      </c>
      <c r="L14" s="972" t="s">
        <v>24</v>
      </c>
      <c r="M14" s="972" t="s">
        <v>25</v>
      </c>
      <c r="N14" s="972"/>
    </row>
    <row r="15" spans="1:14" s="36" customFormat="1" ht="10.5" customHeight="1" x14ac:dyDescent="0.2">
      <c r="A15" s="973"/>
      <c r="B15" s="973"/>
      <c r="C15" s="973"/>
      <c r="D15" s="973"/>
      <c r="E15" s="973"/>
      <c r="F15" s="973"/>
      <c r="G15" s="973"/>
      <c r="H15" s="999"/>
      <c r="I15" s="972"/>
      <c r="J15" s="972"/>
      <c r="K15" s="972"/>
      <c r="L15" s="972"/>
      <c r="M15" s="972"/>
      <c r="N15" s="972"/>
    </row>
    <row r="16" spans="1:14" s="24" customFormat="1" ht="13.5" customHeight="1" x14ac:dyDescent="0.25">
      <c r="A16" s="39">
        <v>1</v>
      </c>
      <c r="B16" s="489" t="s">
        <v>47</v>
      </c>
      <c r="C16" s="239"/>
      <c r="D16" s="42"/>
      <c r="E16" s="480">
        <v>1988</v>
      </c>
      <c r="F16" s="505" t="s">
        <v>10</v>
      </c>
      <c r="G16" s="469" t="s">
        <v>33</v>
      </c>
      <c r="H16" s="53" t="s">
        <v>244</v>
      </c>
      <c r="I16" s="468">
        <v>57</v>
      </c>
      <c r="J16" s="469">
        <v>181</v>
      </c>
      <c r="K16" s="53">
        <v>20</v>
      </c>
      <c r="L16" s="40" t="s">
        <v>10</v>
      </c>
      <c r="M16" s="489" t="s">
        <v>245</v>
      </c>
      <c r="N16" s="42"/>
    </row>
    <row r="17" spans="1:223" s="24" customFormat="1" ht="13.5" customHeight="1" x14ac:dyDescent="0.25">
      <c r="A17" s="39">
        <f>A16+1</f>
        <v>2</v>
      </c>
      <c r="B17" s="392" t="s">
        <v>246</v>
      </c>
      <c r="C17" s="302"/>
      <c r="D17" s="303"/>
      <c r="E17" s="263">
        <v>1991</v>
      </c>
      <c r="F17" s="231" t="s">
        <v>9</v>
      </c>
      <c r="G17" s="245" t="s">
        <v>86</v>
      </c>
      <c r="H17" s="326" t="s">
        <v>31</v>
      </c>
      <c r="I17" s="230">
        <v>52.25</v>
      </c>
      <c r="J17" s="245">
        <v>172</v>
      </c>
      <c r="K17" s="245">
        <v>18</v>
      </c>
      <c r="L17" s="305" t="s">
        <v>10</v>
      </c>
      <c r="M17" s="241" t="s">
        <v>247</v>
      </c>
      <c r="N17" s="306"/>
      <c r="O17" s="45"/>
      <c r="P17" s="46"/>
      <c r="Q17" s="46"/>
    </row>
    <row r="18" spans="1:223" s="24" customFormat="1" ht="23.25" customHeight="1" x14ac:dyDescent="0.25">
      <c r="A18" s="39">
        <f t="shared" ref="A18:A23" si="0">A17+1</f>
        <v>3</v>
      </c>
      <c r="B18" s="390" t="s">
        <v>250</v>
      </c>
      <c r="C18" s="308"/>
      <c r="D18" s="309"/>
      <c r="E18" s="228">
        <v>1984</v>
      </c>
      <c r="F18" s="228" t="s">
        <v>10</v>
      </c>
      <c r="G18" s="228" t="s">
        <v>489</v>
      </c>
      <c r="H18" s="216" t="s">
        <v>121</v>
      </c>
      <c r="I18" s="230">
        <v>58</v>
      </c>
      <c r="J18" s="231">
        <v>168</v>
      </c>
      <c r="K18" s="231">
        <v>16</v>
      </c>
      <c r="L18" s="228" t="s">
        <v>10</v>
      </c>
      <c r="M18" s="248" t="s">
        <v>29</v>
      </c>
      <c r="N18" s="243"/>
    </row>
    <row r="19" spans="1:223" s="50" customFormat="1" ht="18" customHeight="1" x14ac:dyDescent="0.2">
      <c r="A19" s="39">
        <f t="shared" si="0"/>
        <v>4</v>
      </c>
      <c r="B19" s="503" t="s">
        <v>248</v>
      </c>
      <c r="C19" s="265"/>
      <c r="D19" s="266"/>
      <c r="E19" s="362">
        <v>1995</v>
      </c>
      <c r="F19" s="362" t="s">
        <v>9</v>
      </c>
      <c r="G19" s="466" t="s">
        <v>27</v>
      </c>
      <c r="H19" s="220"/>
      <c r="I19" s="465">
        <v>56.55</v>
      </c>
      <c r="J19" s="466">
        <v>152</v>
      </c>
      <c r="K19" s="220">
        <v>15</v>
      </c>
      <c r="L19" s="220" t="s">
        <v>10</v>
      </c>
      <c r="M19" s="541" t="s">
        <v>490</v>
      </c>
      <c r="N19" s="313"/>
    </row>
    <row r="20" spans="1:223" s="50" customFormat="1" ht="13.5" customHeight="1" x14ac:dyDescent="0.25">
      <c r="A20" s="39">
        <f t="shared" si="0"/>
        <v>5</v>
      </c>
      <c r="B20" s="489" t="s">
        <v>48</v>
      </c>
      <c r="C20" s="239"/>
      <c r="D20" s="42"/>
      <c r="E20" s="480">
        <v>1986</v>
      </c>
      <c r="F20" s="469" t="s">
        <v>9</v>
      </c>
      <c r="G20" s="469" t="s">
        <v>33</v>
      </c>
      <c r="H20" s="53"/>
      <c r="I20" s="468">
        <v>57.6</v>
      </c>
      <c r="J20" s="469">
        <v>110</v>
      </c>
      <c r="K20" s="53">
        <v>14</v>
      </c>
      <c r="L20" s="49" t="s">
        <v>9</v>
      </c>
      <c r="M20" s="489" t="s">
        <v>49</v>
      </c>
      <c r="N20" s="48"/>
    </row>
    <row r="21" spans="1:223" s="52" customFormat="1" ht="23.25" customHeight="1" x14ac:dyDescent="0.25">
      <c r="A21" s="39">
        <f t="shared" si="0"/>
        <v>6</v>
      </c>
      <c r="B21" s="395" t="s">
        <v>253</v>
      </c>
      <c r="C21" s="368"/>
      <c r="D21" s="369"/>
      <c r="E21" s="244">
        <v>1998</v>
      </c>
      <c r="F21" s="244" t="s">
        <v>8</v>
      </c>
      <c r="G21" s="244" t="s">
        <v>489</v>
      </c>
      <c r="H21" s="88" t="s">
        <v>121</v>
      </c>
      <c r="I21" s="91">
        <v>57.5</v>
      </c>
      <c r="J21" s="292">
        <v>82</v>
      </c>
      <c r="K21" s="231">
        <v>13</v>
      </c>
      <c r="L21" s="228" t="s">
        <v>8</v>
      </c>
      <c r="M21" s="248" t="s">
        <v>29</v>
      </c>
      <c r="N21" s="226"/>
      <c r="O21" s="731"/>
      <c r="P21" s="731"/>
      <c r="Q21" s="731"/>
      <c r="R21" s="731"/>
      <c r="S21" s="731"/>
      <c r="T21" s="731"/>
      <c r="U21" s="731"/>
      <c r="V21" s="731"/>
      <c r="W21" s="731"/>
      <c r="X21" s="731"/>
      <c r="Y21" s="731"/>
      <c r="Z21" s="731"/>
      <c r="AA21" s="731"/>
      <c r="AB21" s="731"/>
      <c r="AC21" s="731"/>
      <c r="AD21" s="731"/>
      <c r="AE21" s="731"/>
      <c r="AF21" s="731"/>
      <c r="AG21" s="731"/>
      <c r="AH21" s="731"/>
      <c r="AI21" s="731"/>
      <c r="AJ21" s="731"/>
      <c r="AK21" s="731"/>
      <c r="AL21" s="731"/>
      <c r="AM21" s="731"/>
      <c r="AN21" s="731"/>
      <c r="AO21" s="731"/>
      <c r="AP21" s="731"/>
      <c r="AQ21" s="731"/>
      <c r="AR21" s="731"/>
      <c r="AS21" s="731"/>
      <c r="AT21" s="731"/>
      <c r="AU21" s="731"/>
      <c r="AV21" s="731"/>
      <c r="AW21" s="731"/>
      <c r="AX21" s="731"/>
      <c r="AY21" s="731"/>
      <c r="AZ21" s="731"/>
      <c r="BA21" s="731"/>
      <c r="BB21" s="731"/>
      <c r="BC21" s="731"/>
      <c r="BD21" s="731"/>
      <c r="BE21" s="731"/>
      <c r="BF21" s="731"/>
      <c r="BG21" s="731"/>
      <c r="BH21" s="731"/>
      <c r="BI21" s="731"/>
      <c r="BJ21" s="731"/>
      <c r="BK21" s="731"/>
      <c r="BL21" s="731"/>
      <c r="BM21" s="731"/>
      <c r="BN21" s="731"/>
      <c r="BO21" s="731"/>
      <c r="BP21" s="731"/>
      <c r="BQ21" s="731"/>
      <c r="BR21" s="731"/>
      <c r="BS21" s="731"/>
      <c r="BT21" s="731"/>
      <c r="BU21" s="731"/>
      <c r="BV21" s="731"/>
      <c r="BW21" s="731"/>
      <c r="BX21" s="731"/>
      <c r="BY21" s="731"/>
      <c r="BZ21" s="731"/>
      <c r="CA21" s="731"/>
      <c r="CB21" s="731"/>
      <c r="CC21" s="731"/>
      <c r="CD21" s="731"/>
      <c r="CE21" s="731"/>
      <c r="CF21" s="731"/>
      <c r="CG21" s="731"/>
      <c r="CH21" s="731"/>
      <c r="CI21" s="731"/>
      <c r="CJ21" s="731"/>
      <c r="CK21" s="731"/>
      <c r="CL21" s="731"/>
      <c r="CM21" s="731"/>
      <c r="CN21" s="731"/>
      <c r="CO21" s="731"/>
      <c r="CP21" s="731"/>
      <c r="CQ21" s="731"/>
      <c r="CR21" s="731"/>
      <c r="CS21" s="731"/>
      <c r="CT21" s="731"/>
      <c r="CU21" s="731"/>
      <c r="CV21" s="731"/>
      <c r="CW21" s="731"/>
      <c r="CX21" s="731"/>
      <c r="CY21" s="731"/>
      <c r="CZ21" s="731"/>
      <c r="DA21" s="731"/>
      <c r="DB21" s="731"/>
      <c r="DC21" s="731"/>
      <c r="DD21" s="731"/>
      <c r="DE21" s="731"/>
      <c r="DF21" s="731"/>
      <c r="DG21" s="731"/>
      <c r="DH21" s="731"/>
      <c r="DI21" s="731"/>
      <c r="DJ21" s="731"/>
      <c r="DK21" s="731"/>
      <c r="DL21" s="731"/>
      <c r="DM21" s="731"/>
      <c r="DN21" s="731"/>
      <c r="DO21" s="731"/>
      <c r="DP21" s="731"/>
      <c r="DQ21" s="731"/>
      <c r="DR21" s="731"/>
      <c r="DS21" s="731"/>
      <c r="DT21" s="731"/>
      <c r="DU21" s="731"/>
      <c r="DV21" s="731"/>
      <c r="DW21" s="731"/>
      <c r="DX21" s="731"/>
      <c r="DY21" s="731"/>
      <c r="DZ21" s="731"/>
      <c r="EA21" s="731"/>
      <c r="EB21" s="731"/>
      <c r="EC21" s="731"/>
      <c r="ED21" s="731"/>
      <c r="EE21" s="731"/>
      <c r="EF21" s="731"/>
      <c r="EG21" s="731"/>
      <c r="EH21" s="731"/>
      <c r="EI21" s="731"/>
      <c r="EJ21" s="731"/>
      <c r="EK21" s="731"/>
      <c r="EL21" s="731"/>
      <c r="EM21" s="731"/>
      <c r="EN21" s="731"/>
      <c r="EO21" s="731"/>
      <c r="EP21" s="731"/>
      <c r="EQ21" s="731"/>
      <c r="ER21" s="731"/>
      <c r="ES21" s="731"/>
      <c r="ET21" s="731"/>
      <c r="EU21" s="731"/>
      <c r="EV21" s="731"/>
      <c r="EW21" s="731"/>
      <c r="EX21" s="731"/>
      <c r="EY21" s="731"/>
      <c r="EZ21" s="731"/>
      <c r="FA21" s="731"/>
      <c r="FB21" s="731"/>
      <c r="FC21" s="731"/>
      <c r="FD21" s="731"/>
      <c r="FE21" s="731"/>
      <c r="FF21" s="731"/>
      <c r="FG21" s="731"/>
      <c r="FH21" s="731"/>
      <c r="FI21" s="731"/>
      <c r="FJ21" s="731"/>
      <c r="FK21" s="731"/>
      <c r="FL21" s="731"/>
      <c r="FM21" s="731"/>
      <c r="FN21" s="731"/>
      <c r="FO21" s="731"/>
      <c r="FP21" s="731"/>
      <c r="FQ21" s="731"/>
      <c r="FR21" s="731"/>
      <c r="FS21" s="731"/>
      <c r="FT21" s="731"/>
      <c r="FU21" s="731"/>
      <c r="FV21" s="731"/>
      <c r="FW21" s="731"/>
      <c r="FX21" s="731"/>
      <c r="FY21" s="731"/>
      <c r="FZ21" s="731"/>
      <c r="GA21" s="731"/>
      <c r="GB21" s="731"/>
      <c r="GC21" s="731"/>
      <c r="GD21" s="731"/>
      <c r="GE21" s="731"/>
      <c r="GF21" s="731"/>
      <c r="GG21" s="731"/>
      <c r="GH21" s="731"/>
      <c r="GI21" s="731"/>
      <c r="GJ21" s="731"/>
      <c r="GK21" s="731"/>
      <c r="GL21" s="731"/>
      <c r="GM21" s="731"/>
      <c r="GN21" s="731"/>
      <c r="GO21" s="731"/>
      <c r="GP21" s="731"/>
      <c r="GQ21" s="731"/>
      <c r="GR21" s="731"/>
      <c r="GS21" s="731"/>
      <c r="GT21" s="731"/>
      <c r="GU21" s="731"/>
      <c r="GV21" s="731"/>
      <c r="GW21" s="731"/>
      <c r="GX21" s="731"/>
      <c r="GY21" s="731"/>
      <c r="GZ21" s="731"/>
      <c r="HA21" s="731"/>
      <c r="HB21" s="731"/>
      <c r="HC21" s="731"/>
      <c r="HD21" s="731"/>
      <c r="HE21" s="731"/>
      <c r="HF21" s="731"/>
      <c r="HG21" s="731"/>
      <c r="HH21" s="731"/>
      <c r="HI21" s="731"/>
      <c r="HJ21" s="731"/>
      <c r="HK21" s="731"/>
      <c r="HL21" s="731"/>
      <c r="HM21" s="731"/>
      <c r="HN21" s="731"/>
      <c r="HO21" s="731"/>
    </row>
    <row r="22" spans="1:223" s="52" customFormat="1" ht="13.5" customHeight="1" x14ac:dyDescent="0.25">
      <c r="A22" s="39">
        <f t="shared" si="0"/>
        <v>7</v>
      </c>
      <c r="B22" s="534" t="s">
        <v>251</v>
      </c>
      <c r="C22" s="31"/>
      <c r="D22" s="31"/>
      <c r="E22" s="535">
        <v>1983</v>
      </c>
      <c r="F22" s="473" t="s">
        <v>8</v>
      </c>
      <c r="G22" s="536" t="s">
        <v>218</v>
      </c>
      <c r="H22" s="32"/>
      <c r="I22" s="538">
        <v>56.3</v>
      </c>
      <c r="J22" s="539">
        <v>64</v>
      </c>
      <c r="K22" s="28">
        <v>12</v>
      </c>
      <c r="L22" s="400" t="s">
        <v>8</v>
      </c>
      <c r="M22" s="540" t="s">
        <v>252</v>
      </c>
      <c r="N22" s="310"/>
      <c r="O22" s="731"/>
      <c r="P22" s="731"/>
      <c r="Q22" s="731"/>
      <c r="R22" s="731"/>
      <c r="S22" s="731"/>
      <c r="T22" s="731"/>
      <c r="U22" s="731"/>
      <c r="V22" s="731"/>
      <c r="W22" s="731"/>
      <c r="X22" s="731"/>
      <c r="Y22" s="731"/>
      <c r="Z22" s="731"/>
      <c r="AA22" s="731"/>
      <c r="AB22" s="731"/>
      <c r="AC22" s="731"/>
      <c r="AD22" s="731"/>
      <c r="AE22" s="731"/>
      <c r="AF22" s="731"/>
      <c r="AG22" s="731"/>
      <c r="AH22" s="731"/>
      <c r="AI22" s="731"/>
      <c r="AJ22" s="731"/>
      <c r="AK22" s="731"/>
      <c r="AL22" s="731"/>
      <c r="AM22" s="731"/>
      <c r="AN22" s="731"/>
      <c r="AO22" s="731"/>
      <c r="AP22" s="731"/>
      <c r="AQ22" s="731"/>
      <c r="AR22" s="731"/>
      <c r="AS22" s="731"/>
      <c r="AT22" s="731"/>
      <c r="AU22" s="731"/>
      <c r="AV22" s="731"/>
      <c r="AW22" s="731"/>
      <c r="AX22" s="731"/>
      <c r="AY22" s="731"/>
      <c r="AZ22" s="731"/>
      <c r="BA22" s="731"/>
      <c r="BB22" s="731"/>
      <c r="BC22" s="731"/>
      <c r="BD22" s="731"/>
      <c r="BE22" s="731"/>
      <c r="BF22" s="731"/>
      <c r="BG22" s="731"/>
      <c r="BH22" s="731"/>
      <c r="BI22" s="731"/>
      <c r="BJ22" s="731"/>
      <c r="BK22" s="731"/>
      <c r="BL22" s="731"/>
      <c r="BM22" s="731"/>
      <c r="BN22" s="731"/>
      <c r="BO22" s="731"/>
      <c r="BP22" s="731"/>
      <c r="BQ22" s="731"/>
      <c r="BR22" s="731"/>
      <c r="BS22" s="731"/>
      <c r="BT22" s="731"/>
      <c r="BU22" s="731"/>
      <c r="BV22" s="731"/>
      <c r="BW22" s="731"/>
      <c r="BX22" s="731"/>
      <c r="BY22" s="731"/>
      <c r="BZ22" s="731"/>
      <c r="CA22" s="731"/>
      <c r="CB22" s="731"/>
      <c r="CC22" s="731"/>
      <c r="CD22" s="731"/>
      <c r="CE22" s="731"/>
      <c r="CF22" s="731"/>
      <c r="CG22" s="731"/>
      <c r="CH22" s="731"/>
      <c r="CI22" s="731"/>
      <c r="CJ22" s="731"/>
      <c r="CK22" s="731"/>
      <c r="CL22" s="731"/>
      <c r="CM22" s="731"/>
      <c r="CN22" s="731"/>
      <c r="CO22" s="731"/>
      <c r="CP22" s="731"/>
      <c r="CQ22" s="731"/>
      <c r="CR22" s="731"/>
      <c r="CS22" s="731"/>
      <c r="CT22" s="731"/>
      <c r="CU22" s="731"/>
      <c r="CV22" s="731"/>
      <c r="CW22" s="731"/>
      <c r="CX22" s="731"/>
      <c r="CY22" s="731"/>
      <c r="CZ22" s="731"/>
      <c r="DA22" s="731"/>
      <c r="DB22" s="731"/>
      <c r="DC22" s="731"/>
      <c r="DD22" s="731"/>
      <c r="DE22" s="731"/>
      <c r="DF22" s="731"/>
      <c r="DG22" s="731"/>
      <c r="DH22" s="731"/>
      <c r="DI22" s="731"/>
      <c r="DJ22" s="731"/>
      <c r="DK22" s="731"/>
      <c r="DL22" s="731"/>
      <c r="DM22" s="731"/>
      <c r="DN22" s="731"/>
      <c r="DO22" s="731"/>
      <c r="DP22" s="731"/>
      <c r="DQ22" s="731"/>
      <c r="DR22" s="731"/>
      <c r="DS22" s="731"/>
      <c r="DT22" s="731"/>
      <c r="DU22" s="731"/>
      <c r="DV22" s="731"/>
      <c r="DW22" s="731"/>
      <c r="DX22" s="731"/>
      <c r="DY22" s="731"/>
      <c r="DZ22" s="731"/>
      <c r="EA22" s="731"/>
      <c r="EB22" s="731"/>
      <c r="EC22" s="731"/>
      <c r="ED22" s="731"/>
      <c r="EE22" s="731"/>
      <c r="EF22" s="731"/>
      <c r="EG22" s="731"/>
      <c r="EH22" s="731"/>
      <c r="EI22" s="731"/>
      <c r="EJ22" s="731"/>
      <c r="EK22" s="731"/>
      <c r="EL22" s="731"/>
      <c r="EM22" s="731"/>
      <c r="EN22" s="731"/>
      <c r="EO22" s="731"/>
      <c r="EP22" s="731"/>
      <c r="EQ22" s="731"/>
      <c r="ER22" s="731"/>
      <c r="ES22" s="731"/>
      <c r="ET22" s="731"/>
      <c r="EU22" s="731"/>
      <c r="EV22" s="731"/>
      <c r="EW22" s="731"/>
      <c r="EX22" s="731"/>
      <c r="EY22" s="731"/>
      <c r="EZ22" s="731"/>
      <c r="FA22" s="731"/>
      <c r="FB22" s="731"/>
      <c r="FC22" s="731"/>
      <c r="FD22" s="731"/>
      <c r="FE22" s="731"/>
      <c r="FF22" s="731"/>
      <c r="FG22" s="731"/>
      <c r="FH22" s="731"/>
      <c r="FI22" s="731"/>
      <c r="FJ22" s="731"/>
      <c r="FK22" s="731"/>
      <c r="FL22" s="731"/>
      <c r="FM22" s="731"/>
      <c r="FN22" s="731"/>
      <c r="FO22" s="731"/>
      <c r="FP22" s="731"/>
      <c r="FQ22" s="731"/>
      <c r="FR22" s="731"/>
      <c r="FS22" s="731"/>
      <c r="FT22" s="731"/>
      <c r="FU22" s="731"/>
      <c r="FV22" s="731"/>
      <c r="FW22" s="731"/>
      <c r="FX22" s="731"/>
      <c r="FY22" s="731"/>
      <c r="FZ22" s="731"/>
      <c r="GA22" s="731"/>
      <c r="GB22" s="731"/>
      <c r="GC22" s="731"/>
      <c r="GD22" s="731"/>
      <c r="GE22" s="731"/>
      <c r="GF22" s="731"/>
      <c r="GG22" s="731"/>
      <c r="GH22" s="731"/>
      <c r="GI22" s="731"/>
      <c r="GJ22" s="731"/>
      <c r="GK22" s="731"/>
      <c r="GL22" s="731"/>
      <c r="GM22" s="731"/>
      <c r="GN22" s="731"/>
      <c r="GO22" s="731"/>
      <c r="GP22" s="731"/>
      <c r="GQ22" s="731"/>
      <c r="GR22" s="731"/>
      <c r="GS22" s="731"/>
      <c r="GT22" s="731"/>
      <c r="GU22" s="731"/>
      <c r="GV22" s="731"/>
      <c r="GW22" s="731"/>
      <c r="GX22" s="731"/>
      <c r="GY22" s="731"/>
      <c r="GZ22" s="731"/>
      <c r="HA22" s="731"/>
      <c r="HB22" s="731"/>
      <c r="HC22" s="731"/>
      <c r="HD22" s="731"/>
      <c r="HE22" s="731"/>
      <c r="HF22" s="731"/>
      <c r="HG22" s="731"/>
      <c r="HH22" s="731"/>
      <c r="HI22" s="731"/>
      <c r="HJ22" s="731"/>
      <c r="HK22" s="731"/>
      <c r="HL22" s="731"/>
      <c r="HM22" s="731"/>
      <c r="HN22" s="731"/>
      <c r="HO22" s="731"/>
    </row>
    <row r="23" spans="1:223" s="52" customFormat="1" ht="13.5" customHeight="1" x14ac:dyDescent="0.25">
      <c r="A23" s="39">
        <f t="shared" si="0"/>
        <v>8</v>
      </c>
      <c r="B23" s="387" t="s">
        <v>254</v>
      </c>
      <c r="C23" s="261"/>
      <c r="D23" s="307"/>
      <c r="E23" s="507">
        <v>1995</v>
      </c>
      <c r="F23" s="362" t="s">
        <v>8</v>
      </c>
      <c r="G23" s="466" t="s">
        <v>168</v>
      </c>
      <c r="H23" s="238"/>
      <c r="I23" s="468">
        <v>56.1</v>
      </c>
      <c r="J23" s="466">
        <v>53</v>
      </c>
      <c r="K23" s="220">
        <v>11</v>
      </c>
      <c r="L23" s="51"/>
      <c r="M23" s="390" t="s">
        <v>255</v>
      </c>
      <c r="N23" s="48"/>
      <c r="O23" s="731"/>
      <c r="P23" s="731"/>
      <c r="Q23" s="731"/>
      <c r="R23" s="731"/>
      <c r="S23" s="731"/>
      <c r="T23" s="731"/>
      <c r="U23" s="731"/>
      <c r="V23" s="731"/>
      <c r="W23" s="731"/>
      <c r="X23" s="731"/>
      <c r="Y23" s="731"/>
      <c r="Z23" s="731"/>
      <c r="AA23" s="731"/>
      <c r="AB23" s="731"/>
      <c r="AC23" s="731"/>
      <c r="AD23" s="731"/>
      <c r="AE23" s="731"/>
      <c r="AF23" s="731"/>
      <c r="AG23" s="731"/>
      <c r="AH23" s="731"/>
      <c r="AI23" s="731"/>
      <c r="AJ23" s="731"/>
      <c r="AK23" s="731"/>
      <c r="AL23" s="731"/>
      <c r="AM23" s="731"/>
      <c r="AN23" s="731"/>
      <c r="AO23" s="731"/>
      <c r="AP23" s="731"/>
      <c r="AQ23" s="731"/>
      <c r="AR23" s="731"/>
      <c r="AS23" s="731"/>
      <c r="AT23" s="731"/>
      <c r="AU23" s="731"/>
      <c r="AV23" s="731"/>
      <c r="AW23" s="731"/>
      <c r="AX23" s="731"/>
      <c r="AY23" s="731"/>
      <c r="AZ23" s="731"/>
      <c r="BA23" s="731"/>
      <c r="BB23" s="731"/>
      <c r="BC23" s="731"/>
      <c r="BD23" s="731"/>
      <c r="BE23" s="731"/>
      <c r="BF23" s="731"/>
      <c r="BG23" s="731"/>
      <c r="BH23" s="731"/>
      <c r="BI23" s="731"/>
      <c r="BJ23" s="731"/>
      <c r="BK23" s="731"/>
      <c r="BL23" s="731"/>
      <c r="BM23" s="731"/>
      <c r="BN23" s="731"/>
      <c r="BO23" s="731"/>
      <c r="BP23" s="731"/>
      <c r="BQ23" s="731"/>
      <c r="BR23" s="731"/>
      <c r="BS23" s="731"/>
      <c r="BT23" s="731"/>
      <c r="BU23" s="731"/>
      <c r="BV23" s="731"/>
      <c r="BW23" s="731"/>
      <c r="BX23" s="731"/>
      <c r="BY23" s="731"/>
      <c r="BZ23" s="731"/>
      <c r="CA23" s="731"/>
      <c r="CB23" s="731"/>
      <c r="CC23" s="731"/>
      <c r="CD23" s="731"/>
      <c r="CE23" s="731"/>
      <c r="CF23" s="731"/>
      <c r="CG23" s="731"/>
      <c r="CH23" s="731"/>
      <c r="CI23" s="731"/>
      <c r="CJ23" s="731"/>
      <c r="CK23" s="731"/>
      <c r="CL23" s="731"/>
      <c r="CM23" s="731"/>
      <c r="CN23" s="731"/>
      <c r="CO23" s="731"/>
      <c r="CP23" s="731"/>
      <c r="CQ23" s="731"/>
      <c r="CR23" s="731"/>
      <c r="CS23" s="731"/>
      <c r="CT23" s="731"/>
      <c r="CU23" s="731"/>
      <c r="CV23" s="731"/>
      <c r="CW23" s="731"/>
      <c r="CX23" s="731"/>
      <c r="CY23" s="731"/>
      <c r="CZ23" s="731"/>
      <c r="DA23" s="731"/>
      <c r="DB23" s="731"/>
      <c r="DC23" s="731"/>
      <c r="DD23" s="731"/>
      <c r="DE23" s="731"/>
      <c r="DF23" s="731"/>
      <c r="DG23" s="731"/>
      <c r="DH23" s="731"/>
      <c r="DI23" s="731"/>
      <c r="DJ23" s="731"/>
      <c r="DK23" s="731"/>
      <c r="DL23" s="731"/>
      <c r="DM23" s="731"/>
      <c r="DN23" s="731"/>
      <c r="DO23" s="731"/>
      <c r="DP23" s="731"/>
      <c r="DQ23" s="731"/>
      <c r="DR23" s="731"/>
      <c r="DS23" s="731"/>
      <c r="DT23" s="731"/>
      <c r="DU23" s="731"/>
      <c r="DV23" s="731"/>
      <c r="DW23" s="731"/>
      <c r="DX23" s="731"/>
      <c r="DY23" s="731"/>
      <c r="DZ23" s="731"/>
      <c r="EA23" s="731"/>
      <c r="EB23" s="731"/>
      <c r="EC23" s="731"/>
      <c r="ED23" s="731"/>
      <c r="EE23" s="731"/>
      <c r="EF23" s="731"/>
      <c r="EG23" s="731"/>
      <c r="EH23" s="731"/>
      <c r="EI23" s="731"/>
      <c r="EJ23" s="731"/>
      <c r="EK23" s="731"/>
      <c r="EL23" s="731"/>
      <c r="EM23" s="731"/>
      <c r="EN23" s="731"/>
      <c r="EO23" s="731"/>
      <c r="EP23" s="731"/>
      <c r="EQ23" s="731"/>
      <c r="ER23" s="731"/>
      <c r="ES23" s="731"/>
      <c r="ET23" s="731"/>
      <c r="EU23" s="731"/>
      <c r="EV23" s="731"/>
      <c r="EW23" s="731"/>
      <c r="EX23" s="731"/>
      <c r="EY23" s="731"/>
      <c r="EZ23" s="731"/>
      <c r="FA23" s="731"/>
      <c r="FB23" s="731"/>
      <c r="FC23" s="731"/>
      <c r="FD23" s="731"/>
      <c r="FE23" s="731"/>
      <c r="FF23" s="731"/>
      <c r="FG23" s="731"/>
      <c r="FH23" s="731"/>
      <c r="FI23" s="731"/>
      <c r="FJ23" s="731"/>
      <c r="FK23" s="731"/>
      <c r="FL23" s="731"/>
      <c r="FM23" s="731"/>
      <c r="FN23" s="731"/>
      <c r="FO23" s="731"/>
      <c r="FP23" s="731"/>
      <c r="FQ23" s="731"/>
      <c r="FR23" s="731"/>
      <c r="FS23" s="731"/>
      <c r="FT23" s="731"/>
      <c r="FU23" s="731"/>
      <c r="FV23" s="731"/>
      <c r="FW23" s="731"/>
      <c r="FX23" s="731"/>
      <c r="FY23" s="731"/>
      <c r="FZ23" s="731"/>
      <c r="GA23" s="731"/>
      <c r="GB23" s="731"/>
      <c r="GC23" s="731"/>
      <c r="GD23" s="731"/>
      <c r="GE23" s="731"/>
      <c r="GF23" s="731"/>
      <c r="GG23" s="731"/>
      <c r="GH23" s="731"/>
      <c r="GI23" s="731"/>
      <c r="GJ23" s="731"/>
      <c r="GK23" s="731"/>
      <c r="GL23" s="731"/>
      <c r="GM23" s="731"/>
      <c r="GN23" s="731"/>
      <c r="GO23" s="731"/>
      <c r="GP23" s="731"/>
      <c r="GQ23" s="731"/>
      <c r="GR23" s="731"/>
      <c r="GS23" s="731"/>
      <c r="GT23" s="731"/>
      <c r="GU23" s="731"/>
      <c r="GV23" s="731"/>
      <c r="GW23" s="731"/>
      <c r="GX23" s="731"/>
      <c r="GY23" s="731"/>
      <c r="GZ23" s="731"/>
      <c r="HA23" s="731"/>
      <c r="HB23" s="731"/>
      <c r="HC23" s="731"/>
      <c r="HD23" s="731"/>
      <c r="HE23" s="731"/>
      <c r="HF23" s="731"/>
      <c r="HG23" s="731"/>
      <c r="HH23" s="731"/>
      <c r="HI23" s="731"/>
      <c r="HJ23" s="731"/>
      <c r="HK23" s="731"/>
      <c r="HL23" s="731"/>
      <c r="HM23" s="731"/>
      <c r="HN23" s="731"/>
      <c r="HO23" s="731"/>
    </row>
    <row r="24" spans="1:223" ht="13.5" customHeight="1" x14ac:dyDescent="0.25">
      <c r="A24" s="11"/>
      <c r="B24" s="393"/>
      <c r="N24" s="56"/>
    </row>
    <row r="25" spans="1:223" x14ac:dyDescent="0.2">
      <c r="A25" s="36"/>
      <c r="B25" s="24"/>
      <c r="C25" s="36"/>
      <c r="D25" s="36"/>
      <c r="E25" s="36"/>
      <c r="F25" s="36"/>
      <c r="G25" s="57"/>
      <c r="H25" s="57"/>
      <c r="I25" s="57"/>
      <c r="J25" s="57"/>
      <c r="K25" s="57"/>
      <c r="L25" s="57"/>
      <c r="M25" s="57"/>
      <c r="N25" s="57"/>
    </row>
    <row r="26" spans="1:223" x14ac:dyDescent="0.2">
      <c r="A26" s="57"/>
      <c r="B26" s="394"/>
      <c r="C26" s="57"/>
      <c r="D26" s="57"/>
      <c r="F26" s="57"/>
      <c r="G26" s="57"/>
      <c r="H26" s="57"/>
      <c r="I26" s="57"/>
      <c r="J26" s="57"/>
      <c r="K26" s="998"/>
      <c r="L26" s="998"/>
      <c r="M26" s="998"/>
      <c r="N26" s="998"/>
    </row>
    <row r="27" spans="1:223" ht="13.5" x14ac:dyDescent="0.25">
      <c r="A27" s="214" t="s">
        <v>534</v>
      </c>
      <c r="B27" s="210"/>
      <c r="C27" s="210"/>
      <c r="D27" s="210"/>
      <c r="E27" s="210"/>
      <c r="F27" s="210"/>
      <c r="G27" s="210"/>
      <c r="H27" s="214" t="s">
        <v>40</v>
      </c>
      <c r="J27" s="17"/>
      <c r="K27" s="205"/>
      <c r="L27" s="475" t="s">
        <v>479</v>
      </c>
      <c r="N27" s="205"/>
    </row>
    <row r="28" spans="1:223" ht="13.5" x14ac:dyDescent="0.25">
      <c r="A28" s="214"/>
      <c r="B28" s="383"/>
      <c r="C28" s="205"/>
      <c r="D28" s="17"/>
      <c r="E28" s="17"/>
      <c r="F28" s="17"/>
      <c r="G28" s="17"/>
      <c r="H28" s="214"/>
      <c r="J28" s="17"/>
      <c r="K28" s="205"/>
      <c r="L28" s="476"/>
      <c r="M28" s="17"/>
      <c r="N28" s="17"/>
    </row>
    <row r="29" spans="1:223" ht="13.5" x14ac:dyDescent="0.25">
      <c r="A29" s="214" t="s">
        <v>535</v>
      </c>
      <c r="B29" s="210"/>
      <c r="C29" s="210"/>
      <c r="D29" s="210"/>
      <c r="E29" s="210"/>
      <c r="F29" s="210"/>
      <c r="G29" s="210"/>
      <c r="H29" s="214" t="s">
        <v>41</v>
      </c>
      <c r="J29" s="210"/>
      <c r="L29" s="477" t="s">
        <v>481</v>
      </c>
      <c r="M29" s="205"/>
      <c r="N29" s="205"/>
    </row>
  </sheetData>
  <sheetProtection selectLockedCells="1" selectUnlockedCells="1"/>
  <mergeCells count="28">
    <mergeCell ref="K26:N26"/>
    <mergeCell ref="A1:N1"/>
    <mergeCell ref="A2:N2"/>
    <mergeCell ref="A3:N3"/>
    <mergeCell ref="A4:N4"/>
    <mergeCell ref="H14:H15"/>
    <mergeCell ref="A5:C5"/>
    <mergeCell ref="L5:N5"/>
    <mergeCell ref="L7:N7"/>
    <mergeCell ref="L14:L15"/>
    <mergeCell ref="M14:N15"/>
    <mergeCell ref="A8:B9"/>
    <mergeCell ref="D8:K8"/>
    <mergeCell ref="D9:K9"/>
    <mergeCell ref="D10:K10"/>
    <mergeCell ref="A14:A15"/>
    <mergeCell ref="L6:N6"/>
    <mergeCell ref="A6:C6"/>
    <mergeCell ref="D6:K6"/>
    <mergeCell ref="I14:I15"/>
    <mergeCell ref="J14:J15"/>
    <mergeCell ref="K14:K15"/>
    <mergeCell ref="A7:B7"/>
    <mergeCell ref="C7:K7"/>
    <mergeCell ref="F14:F15"/>
    <mergeCell ref="G14:G15"/>
    <mergeCell ref="B14:D15"/>
    <mergeCell ref="E14:E15"/>
  </mergeCells>
  <phoneticPr fontId="33" type="noConversion"/>
  <pageMargins left="0.15748031496062992" right="0.23622047244094491" top="0.27559055118110237" bottom="0.19685039370078741" header="0" footer="0"/>
  <pageSetup paperSize="9" firstPageNumber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opLeftCell="A11" zoomScaleSheetLayoutView="100" workbookViewId="0">
      <selection activeCell="G28" sqref="G28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6.5703125" customWidth="1"/>
    <col min="7" max="7" width="27.8554687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7.710937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7"/>
      <c r="C5" s="757"/>
      <c r="D5" s="757"/>
      <c r="E5" s="757"/>
      <c r="F5" s="757"/>
      <c r="G5" s="757"/>
      <c r="H5" s="757"/>
      <c r="I5" s="757"/>
      <c r="J5" s="757"/>
      <c r="K5" s="757"/>
      <c r="L5" s="757"/>
      <c r="M5" s="757"/>
      <c r="N5" s="757"/>
    </row>
    <row r="6" spans="1:14" ht="28.15" customHeight="1" x14ac:dyDescent="0.2">
      <c r="A6" s="186"/>
      <c r="B6" s="757"/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</row>
    <row r="7" spans="1:14" ht="13.5" x14ac:dyDescent="0.25">
      <c r="A7" s="970" t="s">
        <v>681</v>
      </c>
      <c r="B7" s="970"/>
      <c r="C7" s="760"/>
      <c r="D7" s="1"/>
      <c r="E7" s="1"/>
      <c r="F7" s="1"/>
      <c r="G7" s="1"/>
      <c r="H7" s="1"/>
      <c r="I7" s="1"/>
      <c r="J7" s="1"/>
      <c r="K7" s="1"/>
      <c r="L7" s="971" t="s">
        <v>42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1004">
        <v>192</v>
      </c>
      <c r="B10" s="1005"/>
      <c r="C10" s="759"/>
      <c r="D10" s="980" t="s">
        <v>533</v>
      </c>
      <c r="E10" s="981"/>
      <c r="F10" s="981"/>
      <c r="G10" s="981"/>
      <c r="H10" s="981"/>
      <c r="I10" s="981"/>
      <c r="J10" s="981"/>
      <c r="K10" s="981"/>
      <c r="L10" s="755" t="s">
        <v>8</v>
      </c>
      <c r="M10" s="755" t="s">
        <v>9</v>
      </c>
      <c r="N10" s="755" t="s">
        <v>10</v>
      </c>
    </row>
    <row r="11" spans="1:14" ht="15.75" x14ac:dyDescent="0.25">
      <c r="A11" s="1006"/>
      <c r="B11" s="1007"/>
      <c r="C11" s="759"/>
      <c r="D11" s="980" t="s">
        <v>43</v>
      </c>
      <c r="E11" s="980"/>
      <c r="F11" s="980"/>
      <c r="G11" s="980"/>
      <c r="H11" s="980"/>
      <c r="I11" s="980"/>
      <c r="J11" s="980"/>
      <c r="K11" s="980"/>
      <c r="L11" s="4">
        <v>60</v>
      </c>
      <c r="M11" s="4">
        <v>105</v>
      </c>
      <c r="N11" s="4">
        <v>135</v>
      </c>
    </row>
    <row r="12" spans="1:14" ht="16.5" thickBot="1" x14ac:dyDescent="0.3">
      <c r="A12" s="5"/>
      <c r="B12" s="384"/>
      <c r="C12" s="759"/>
      <c r="D12" s="980" t="s">
        <v>44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7"/>
      <c r="G13" s="757"/>
      <c r="H13" s="757"/>
      <c r="I13" s="757"/>
      <c r="J13" s="757"/>
      <c r="K13" s="757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7"/>
      <c r="G14" s="757"/>
      <c r="H14" s="757"/>
      <c r="I14" s="757"/>
      <c r="J14" s="757"/>
      <c r="K14" s="757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685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46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21" customHeight="1" x14ac:dyDescent="0.25">
      <c r="A18" s="817" t="s">
        <v>686</v>
      </c>
      <c r="B18" s="387" t="s">
        <v>47</v>
      </c>
      <c r="C18" s="225"/>
      <c r="D18" s="226"/>
      <c r="E18" s="227">
        <v>1988</v>
      </c>
      <c r="F18" s="228" t="s">
        <v>10</v>
      </c>
      <c r="G18" s="285" t="s">
        <v>684</v>
      </c>
      <c r="H18" s="231"/>
      <c r="I18" s="230">
        <v>57.15</v>
      </c>
      <c r="J18" s="231">
        <v>196</v>
      </c>
      <c r="K18" s="231">
        <v>20</v>
      </c>
      <c r="L18" s="228" t="s">
        <v>10</v>
      </c>
      <c r="M18" s="224" t="s">
        <v>567</v>
      </c>
      <c r="N18" s="823"/>
    </row>
    <row r="19" spans="1:14" s="24" customFormat="1" ht="18" customHeight="1" x14ac:dyDescent="0.25">
      <c r="A19" s="817" t="s">
        <v>687</v>
      </c>
      <c r="B19" s="489" t="s">
        <v>564</v>
      </c>
      <c r="C19" s="478"/>
      <c r="D19" s="479"/>
      <c r="E19" s="480">
        <v>1991</v>
      </c>
      <c r="F19" s="505" t="s">
        <v>10</v>
      </c>
      <c r="G19" s="473" t="s">
        <v>565</v>
      </c>
      <c r="H19" s="469"/>
      <c r="I19" s="468">
        <v>53.2</v>
      </c>
      <c r="J19" s="469">
        <v>154</v>
      </c>
      <c r="K19" s="469">
        <v>18</v>
      </c>
      <c r="L19" s="228" t="s">
        <v>10</v>
      </c>
      <c r="M19" s="464" t="s">
        <v>566</v>
      </c>
      <c r="N19" s="802"/>
    </row>
    <row r="20" spans="1:14" s="24" customFormat="1" ht="18.75" customHeight="1" x14ac:dyDescent="0.25">
      <c r="A20" s="817" t="s">
        <v>688</v>
      </c>
      <c r="B20" s="390" t="s">
        <v>560</v>
      </c>
      <c r="C20" s="308"/>
      <c r="D20" s="309"/>
      <c r="E20" s="507">
        <v>1994</v>
      </c>
      <c r="F20" s="467" t="s">
        <v>8</v>
      </c>
      <c r="G20" s="466" t="s">
        <v>561</v>
      </c>
      <c r="H20" s="466"/>
      <c r="I20" s="465">
        <v>55.05</v>
      </c>
      <c r="J20" s="466">
        <v>69</v>
      </c>
      <c r="K20" s="466">
        <v>16</v>
      </c>
      <c r="L20" s="467" t="s">
        <v>8</v>
      </c>
      <c r="M20" s="387" t="s">
        <v>562</v>
      </c>
      <c r="N20" s="812"/>
    </row>
    <row r="21" spans="1:14" s="24" customFormat="1" ht="18.75" customHeight="1" x14ac:dyDescent="0.25">
      <c r="A21" s="817" t="s">
        <v>689</v>
      </c>
      <c r="B21" s="387" t="s">
        <v>563</v>
      </c>
      <c r="C21" s="225"/>
      <c r="D21" s="226"/>
      <c r="E21" s="227">
        <v>1996</v>
      </c>
      <c r="F21" s="228" t="s">
        <v>8</v>
      </c>
      <c r="G21" s="228" t="s">
        <v>125</v>
      </c>
      <c r="H21" s="161"/>
      <c r="I21" s="230">
        <v>54.25</v>
      </c>
      <c r="J21" s="231">
        <v>65</v>
      </c>
      <c r="K21" s="231">
        <v>15</v>
      </c>
      <c r="L21" s="467" t="s">
        <v>8</v>
      </c>
      <c r="M21" s="248" t="s">
        <v>126</v>
      </c>
      <c r="N21" s="233"/>
    </row>
    <row r="22" spans="1:14" s="24" customFormat="1" ht="18.75" customHeight="1" x14ac:dyDescent="0.25">
      <c r="A22" s="817" t="s">
        <v>690</v>
      </c>
      <c r="B22" s="390" t="s">
        <v>728</v>
      </c>
      <c r="C22" s="308"/>
      <c r="D22" s="309"/>
      <c r="E22" s="507">
        <v>1994</v>
      </c>
      <c r="F22" s="467" t="s">
        <v>8</v>
      </c>
      <c r="G22" s="466" t="s">
        <v>35</v>
      </c>
      <c r="H22" s="466"/>
      <c r="I22" s="465">
        <v>50.2</v>
      </c>
      <c r="J22" s="466">
        <v>57</v>
      </c>
      <c r="K22" s="466">
        <v>14</v>
      </c>
      <c r="L22" s="467"/>
      <c r="M22" s="248" t="s">
        <v>729</v>
      </c>
      <c r="N22" s="233"/>
    </row>
    <row r="23" spans="1:14" s="24" customFormat="1" ht="15.75" customHeight="1" x14ac:dyDescent="0.25">
      <c r="A23" s="817" t="s">
        <v>691</v>
      </c>
      <c r="B23" s="387" t="s">
        <v>730</v>
      </c>
      <c r="C23" s="225"/>
      <c r="D23" s="226"/>
      <c r="E23" s="227">
        <v>1993</v>
      </c>
      <c r="F23" s="228" t="s">
        <v>8</v>
      </c>
      <c r="G23" s="228" t="s">
        <v>35</v>
      </c>
      <c r="H23" s="161"/>
      <c r="I23" s="230">
        <v>58</v>
      </c>
      <c r="J23" s="231">
        <v>50</v>
      </c>
      <c r="K23" s="231">
        <v>13</v>
      </c>
      <c r="L23" s="467"/>
      <c r="M23" s="248" t="s">
        <v>731</v>
      </c>
      <c r="N23" s="233"/>
    </row>
    <row r="24" spans="1:14" s="24" customFormat="1" ht="15.75" customHeight="1" x14ac:dyDescent="0.25">
      <c r="A24" s="824"/>
      <c r="B24" s="183"/>
      <c r="C24" s="431"/>
      <c r="D24" s="431"/>
      <c r="E24" s="436"/>
      <c r="F24" s="437"/>
      <c r="G24" s="437"/>
      <c r="H24" s="825"/>
      <c r="I24" s="439"/>
      <c r="J24" s="326"/>
      <c r="K24" s="326"/>
      <c r="L24" s="788"/>
      <c r="M24" s="431"/>
      <c r="N24" s="270"/>
    </row>
    <row r="25" spans="1:14" s="24" customFormat="1" ht="15.75" customHeight="1" x14ac:dyDescent="0.25">
      <c r="A25" s="824"/>
      <c r="B25" s="791" t="s">
        <v>720</v>
      </c>
      <c r="C25" s="792"/>
      <c r="D25" s="792"/>
      <c r="E25" s="793"/>
      <c r="F25" s="794"/>
      <c r="G25" s="795"/>
      <c r="H25" s="825"/>
      <c r="I25" s="439"/>
      <c r="J25" s="326"/>
      <c r="K25" s="326"/>
      <c r="L25" s="788"/>
      <c r="M25" s="431"/>
      <c r="N25" s="270"/>
    </row>
    <row r="26" spans="1:14" s="24" customFormat="1" ht="15.75" customHeight="1" x14ac:dyDescent="0.25">
      <c r="A26" s="824"/>
      <c r="B26" s="183"/>
      <c r="C26" s="431"/>
      <c r="D26" s="431"/>
      <c r="E26" s="436"/>
      <c r="F26" s="437"/>
      <c r="G26" s="437"/>
      <c r="H26" s="825"/>
      <c r="I26" s="439"/>
      <c r="J26" s="326"/>
      <c r="K26" s="326"/>
      <c r="L26" s="788"/>
      <c r="M26" s="431"/>
      <c r="N26" s="270"/>
    </row>
    <row r="27" spans="1:14" s="24" customFormat="1" ht="15.75" customHeight="1" x14ac:dyDescent="0.25">
      <c r="A27" s="824"/>
      <c r="B27" s="183"/>
      <c r="C27" s="431"/>
      <c r="D27" s="431"/>
      <c r="E27" s="436"/>
      <c r="F27" s="437"/>
      <c r="G27" s="437"/>
      <c r="H27" s="825"/>
      <c r="I27" s="439"/>
      <c r="J27" s="326"/>
      <c r="K27" s="326"/>
      <c r="L27" s="788"/>
      <c r="M27" s="431"/>
      <c r="N27" s="270"/>
    </row>
    <row r="28" spans="1:14" x14ac:dyDescent="0.2">
      <c r="A28" s="17"/>
      <c r="B28" s="2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13.5" x14ac:dyDescent="0.25">
      <c r="A29" s="214" t="s">
        <v>534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761"/>
      <c r="L29" s="475" t="s">
        <v>536</v>
      </c>
      <c r="N29" s="761"/>
    </row>
    <row r="30" spans="1:14" ht="13.5" x14ac:dyDescent="0.25">
      <c r="A30" s="214"/>
      <c r="B30" s="383"/>
      <c r="C30" s="761"/>
      <c r="D30" s="17"/>
      <c r="E30" s="17"/>
      <c r="F30" s="17"/>
      <c r="G30" s="17"/>
      <c r="H30" s="214"/>
      <c r="J30" s="17"/>
      <c r="K30" s="761"/>
      <c r="L30" s="476"/>
      <c r="M30" s="17"/>
      <c r="N30" s="17"/>
    </row>
    <row r="31" spans="1:14" ht="13.5" x14ac:dyDescent="0.25">
      <c r="A31" s="214" t="s">
        <v>535</v>
      </c>
      <c r="B31" s="210"/>
      <c r="C31" s="210"/>
      <c r="D31" s="210"/>
      <c r="E31" s="210"/>
      <c r="F31" s="210"/>
      <c r="G31" s="210"/>
      <c r="H31" s="214" t="s">
        <v>41</v>
      </c>
      <c r="J31" s="210"/>
      <c r="L31" s="477" t="s">
        <v>537</v>
      </c>
      <c r="M31" s="761"/>
      <c r="N31" s="761"/>
    </row>
  </sheetData>
  <sortState ref="A18:N21">
    <sortCondition descending="1" ref="J18:J21"/>
  </sortState>
  <mergeCells count="27">
    <mergeCell ref="B1:N1"/>
    <mergeCell ref="B2:N2"/>
    <mergeCell ref="B3:N3"/>
    <mergeCell ref="B4:N4"/>
    <mergeCell ref="A7:B7"/>
    <mergeCell ref="L7:N7"/>
    <mergeCell ref="A8:B8"/>
    <mergeCell ref="D8:K8"/>
    <mergeCell ref="L8:N8"/>
    <mergeCell ref="A9:B9"/>
    <mergeCell ref="C9:K9"/>
    <mergeCell ref="L9:N9"/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4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="110" zoomScaleNormal="110" zoomScaleSheetLayoutView="110" workbookViewId="0">
      <selection activeCell="L9" sqref="L9:N9"/>
    </sheetView>
  </sheetViews>
  <sheetFormatPr defaultRowHeight="12.75" x14ac:dyDescent="0.2"/>
  <cols>
    <col min="1" max="1" width="6.140625" customWidth="1"/>
    <col min="2" max="2" width="10.7109375" style="167" customWidth="1"/>
    <col min="3" max="3" width="10.42578125" customWidth="1"/>
    <col min="4" max="4" width="4.7109375" customWidth="1"/>
    <col min="5" max="5" width="8" customWidth="1"/>
    <col min="6" max="6" width="7.42578125" customWidth="1"/>
    <col min="7" max="7" width="22.85546875" customWidth="1"/>
    <col min="8" max="8" width="9.7109375" customWidth="1"/>
    <col min="9" max="9" width="7.42578125" customWidth="1"/>
    <col min="10" max="10" width="8.42578125" customWidth="1"/>
    <col min="11" max="11" width="11" customWidth="1"/>
    <col min="12" max="12" width="8.28515625" customWidth="1"/>
    <col min="13" max="13" width="8.7109375" customWidth="1"/>
    <col min="14" max="14" width="21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42</v>
      </c>
      <c r="M5" s="971"/>
      <c r="N5" s="971"/>
    </row>
    <row r="6" spans="1:14" ht="13.5" customHeight="1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3.5" customHeight="1" x14ac:dyDescent="0.25">
      <c r="A8" s="1000">
        <v>190</v>
      </c>
      <c r="B8" s="1001"/>
      <c r="C8" s="434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3.5" customHeight="1" x14ac:dyDescent="0.25">
      <c r="A9" s="1002"/>
      <c r="B9" s="1003"/>
      <c r="C9" s="434"/>
      <c r="D9" s="980" t="s">
        <v>43</v>
      </c>
      <c r="E9" s="980"/>
      <c r="F9" s="980"/>
      <c r="G9" s="980"/>
      <c r="H9" s="980"/>
      <c r="I9" s="980"/>
      <c r="J9" s="980"/>
      <c r="K9" s="980"/>
      <c r="L9" s="4">
        <v>67</v>
      </c>
      <c r="M9" s="4">
        <v>115</v>
      </c>
      <c r="N9" s="4">
        <v>145</v>
      </c>
    </row>
    <row r="10" spans="1:14" ht="20.25" customHeight="1" thickBot="1" x14ac:dyDescent="0.3">
      <c r="A10" s="5"/>
      <c r="B10" s="384"/>
      <c r="C10" s="434"/>
      <c r="D10" s="980" t="s">
        <v>82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3.5" customHeight="1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6"/>
      <c r="M11" s="6"/>
      <c r="N11" s="6"/>
    </row>
    <row r="12" spans="1:14" ht="13.5" customHeight="1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ht="10.5" customHeight="1" x14ac:dyDescent="0.2">
      <c r="A13" s="38"/>
      <c r="B13" s="39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s="36" customFormat="1" ht="10.5" customHeight="1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45</v>
      </c>
      <c r="G14" s="972" t="s">
        <v>19</v>
      </c>
      <c r="H14" s="973" t="s">
        <v>20</v>
      </c>
      <c r="I14" s="972" t="s">
        <v>21</v>
      </c>
      <c r="J14" s="972" t="s">
        <v>46</v>
      </c>
      <c r="K14" s="972" t="s">
        <v>23</v>
      </c>
      <c r="L14" s="972" t="s">
        <v>24</v>
      </c>
      <c r="M14" s="972" t="s">
        <v>25</v>
      </c>
      <c r="N14" s="972"/>
    </row>
    <row r="15" spans="1:14" s="36" customFormat="1" ht="14.25" customHeight="1" x14ac:dyDescent="0.2">
      <c r="A15" s="973"/>
      <c r="B15" s="973"/>
      <c r="C15" s="973"/>
      <c r="D15" s="973"/>
      <c r="E15" s="973"/>
      <c r="F15" s="973"/>
      <c r="G15" s="973"/>
      <c r="H15" s="999"/>
      <c r="I15" s="972"/>
      <c r="J15" s="972"/>
      <c r="K15" s="972"/>
      <c r="L15" s="972"/>
      <c r="M15" s="972"/>
      <c r="N15" s="972"/>
    </row>
    <row r="16" spans="1:14" s="36" customFormat="1" ht="17.25" customHeight="1" x14ac:dyDescent="0.25">
      <c r="A16" s="39">
        <v>1</v>
      </c>
      <c r="B16" s="503" t="s">
        <v>256</v>
      </c>
      <c r="C16" s="492"/>
      <c r="D16" s="542"/>
      <c r="E16" s="507">
        <v>1990</v>
      </c>
      <c r="F16" s="466" t="s">
        <v>223</v>
      </c>
      <c r="G16" s="362" t="s">
        <v>257</v>
      </c>
      <c r="H16" s="34" t="s">
        <v>31</v>
      </c>
      <c r="I16" s="547">
        <v>62.25</v>
      </c>
      <c r="J16" s="471">
        <v>182</v>
      </c>
      <c r="K16" s="471">
        <v>20</v>
      </c>
      <c r="L16" s="228" t="s">
        <v>10</v>
      </c>
      <c r="M16" s="1008" t="s">
        <v>449</v>
      </c>
      <c r="N16" s="1009"/>
    </row>
    <row r="17" spans="1:17" s="36" customFormat="1" ht="15.75" customHeight="1" x14ac:dyDescent="0.25">
      <c r="A17" s="39">
        <f t="shared" ref="A17:A22" si="0">A16+1</f>
        <v>2</v>
      </c>
      <c r="B17" s="489" t="s">
        <v>307</v>
      </c>
      <c r="C17" s="478"/>
      <c r="D17" s="479"/>
      <c r="E17" s="480">
        <v>1994</v>
      </c>
      <c r="F17" s="231" t="s">
        <v>10</v>
      </c>
      <c r="G17" s="466" t="s">
        <v>32</v>
      </c>
      <c r="H17" s="21"/>
      <c r="I17" s="545">
        <v>59.45</v>
      </c>
      <c r="J17" s="471">
        <v>160</v>
      </c>
      <c r="K17" s="546">
        <v>18</v>
      </c>
      <c r="L17" s="228" t="s">
        <v>10</v>
      </c>
      <c r="M17" s="302" t="s">
        <v>446</v>
      </c>
      <c r="N17" s="548"/>
    </row>
    <row r="18" spans="1:17" s="24" customFormat="1" ht="21" customHeight="1" x14ac:dyDescent="0.25">
      <c r="A18" s="39">
        <f t="shared" si="0"/>
        <v>3</v>
      </c>
      <c r="B18" s="390" t="s">
        <v>258</v>
      </c>
      <c r="C18" s="308"/>
      <c r="D18" s="309"/>
      <c r="E18" s="228">
        <v>1974</v>
      </c>
      <c r="F18" s="228" t="s">
        <v>10</v>
      </c>
      <c r="G18" s="245" t="s">
        <v>492</v>
      </c>
      <c r="H18" s="216" t="s">
        <v>216</v>
      </c>
      <c r="I18" s="230">
        <v>61.2</v>
      </c>
      <c r="J18" s="231">
        <v>138</v>
      </c>
      <c r="K18" s="231">
        <v>16</v>
      </c>
      <c r="L18" s="231" t="s">
        <v>455</v>
      </c>
      <c r="M18" s="262" t="s">
        <v>217</v>
      </c>
      <c r="N18" s="226"/>
    </row>
    <row r="19" spans="1:17" s="24" customFormat="1" ht="15.75" customHeight="1" x14ac:dyDescent="0.25">
      <c r="A19" s="39">
        <f t="shared" si="0"/>
        <v>4</v>
      </c>
      <c r="B19" s="503" t="s">
        <v>259</v>
      </c>
      <c r="C19" s="492"/>
      <c r="D19" s="542"/>
      <c r="E19" s="507">
        <v>1990</v>
      </c>
      <c r="F19" s="466" t="s">
        <v>8</v>
      </c>
      <c r="G19" s="362" t="s">
        <v>194</v>
      </c>
      <c r="H19" s="220"/>
      <c r="I19" s="465">
        <v>61.2</v>
      </c>
      <c r="J19" s="466">
        <v>129</v>
      </c>
      <c r="K19" s="466">
        <v>15</v>
      </c>
      <c r="L19" s="231" t="s">
        <v>455</v>
      </c>
      <c r="M19" s="1010" t="s">
        <v>228</v>
      </c>
      <c r="N19" s="1011"/>
      <c r="O19" s="45"/>
      <c r="P19" s="46"/>
      <c r="Q19" s="46"/>
    </row>
    <row r="20" spans="1:17" s="24" customFormat="1" ht="22.5" customHeight="1" x14ac:dyDescent="0.25">
      <c r="A20" s="39">
        <f t="shared" si="0"/>
        <v>5</v>
      </c>
      <c r="B20" s="390" t="s">
        <v>50</v>
      </c>
      <c r="C20" s="308"/>
      <c r="D20" s="309"/>
      <c r="E20" s="228">
        <v>2000</v>
      </c>
      <c r="F20" s="228" t="s">
        <v>8</v>
      </c>
      <c r="G20" s="231" t="s">
        <v>492</v>
      </c>
      <c r="H20" s="216" t="s">
        <v>216</v>
      </c>
      <c r="I20" s="230">
        <v>62.2</v>
      </c>
      <c r="J20" s="231">
        <v>63</v>
      </c>
      <c r="K20" s="231">
        <v>14</v>
      </c>
      <c r="L20" s="231"/>
      <c r="M20" s="262" t="s">
        <v>217</v>
      </c>
      <c r="N20" s="226"/>
    </row>
    <row r="21" spans="1:17" s="50" customFormat="1" ht="13.5" customHeight="1" x14ac:dyDescent="0.25">
      <c r="A21" s="39">
        <f t="shared" si="0"/>
        <v>6</v>
      </c>
      <c r="B21" s="387" t="s">
        <v>325</v>
      </c>
      <c r="C21" s="432"/>
      <c r="D21" s="501"/>
      <c r="E21" s="161">
        <v>1996</v>
      </c>
      <c r="F21" s="161">
        <v>1</v>
      </c>
      <c r="G21" s="228" t="s">
        <v>172</v>
      </c>
      <c r="H21" s="238"/>
      <c r="I21" s="465">
        <v>61.05</v>
      </c>
      <c r="J21" s="466">
        <v>50</v>
      </c>
      <c r="K21" s="466">
        <v>13</v>
      </c>
      <c r="L21" s="51"/>
      <c r="M21" s="390" t="s">
        <v>326</v>
      </c>
      <c r="N21" s="303"/>
    </row>
    <row r="22" spans="1:17" s="50" customFormat="1" ht="15.75" customHeight="1" x14ac:dyDescent="0.2">
      <c r="A22" s="39">
        <f t="shared" si="0"/>
        <v>7</v>
      </c>
      <c r="B22" s="488" t="s">
        <v>260</v>
      </c>
      <c r="C22" s="543"/>
      <c r="D22" s="544"/>
      <c r="E22" s="161">
        <v>1996</v>
      </c>
      <c r="F22" s="161" t="s">
        <v>8</v>
      </c>
      <c r="G22" s="469" t="s">
        <v>261</v>
      </c>
      <c r="H22" s="269" t="s">
        <v>146</v>
      </c>
      <c r="I22" s="468">
        <v>61.15</v>
      </c>
      <c r="J22" s="469">
        <v>32</v>
      </c>
      <c r="K22" s="469">
        <v>12</v>
      </c>
      <c r="L22" s="53"/>
      <c r="M22" s="488" t="s">
        <v>262</v>
      </c>
      <c r="N22" s="544"/>
    </row>
    <row r="23" spans="1:17" ht="13.5" customHeight="1" x14ac:dyDescent="0.25">
      <c r="A23" s="11"/>
      <c r="B23" s="393"/>
      <c r="N23" s="56"/>
    </row>
    <row r="24" spans="1:17" x14ac:dyDescent="0.2">
      <c r="A24" s="36"/>
      <c r="B24" s="24"/>
      <c r="C24" s="36"/>
      <c r="D24" s="36"/>
      <c r="E24" s="36"/>
      <c r="F24" s="36"/>
      <c r="G24" s="57"/>
      <c r="H24" s="57"/>
      <c r="I24" s="57"/>
      <c r="J24" s="57"/>
      <c r="K24" s="57"/>
      <c r="L24" s="57"/>
      <c r="M24" s="57"/>
      <c r="N24" s="57"/>
    </row>
    <row r="25" spans="1:17" x14ac:dyDescent="0.2">
      <c r="A25" s="57"/>
      <c r="B25" s="394"/>
      <c r="C25" s="57"/>
      <c r="D25" s="57"/>
      <c r="F25" s="57"/>
      <c r="G25" s="57"/>
      <c r="H25" s="57"/>
      <c r="I25" s="57"/>
      <c r="J25" s="57"/>
      <c r="K25" s="998"/>
      <c r="L25" s="998"/>
      <c r="M25" s="998"/>
      <c r="N25" s="998"/>
    </row>
    <row r="26" spans="1:17" ht="13.5" x14ac:dyDescent="0.25">
      <c r="A26" s="214" t="s">
        <v>480</v>
      </c>
      <c r="B26" s="210"/>
      <c r="C26" s="210"/>
      <c r="D26" s="210"/>
      <c r="E26" s="210"/>
      <c r="F26" s="210"/>
      <c r="G26" s="210"/>
      <c r="H26" s="214" t="s">
        <v>40</v>
      </c>
      <c r="J26" s="17"/>
      <c r="K26" s="205"/>
      <c r="L26" s="475" t="s">
        <v>479</v>
      </c>
      <c r="N26" s="205"/>
    </row>
    <row r="27" spans="1:17" ht="13.5" x14ac:dyDescent="0.25">
      <c r="A27" s="214"/>
      <c r="B27" s="383"/>
      <c r="C27" s="205"/>
      <c r="D27" s="17"/>
      <c r="E27" s="17"/>
      <c r="F27" s="17"/>
      <c r="G27" s="17"/>
      <c r="H27" s="214"/>
      <c r="J27" s="17"/>
      <c r="K27" s="205"/>
      <c r="L27" s="476"/>
      <c r="M27" s="17"/>
      <c r="N27" s="17"/>
    </row>
    <row r="28" spans="1:17" ht="13.5" x14ac:dyDescent="0.25">
      <c r="A28" s="214" t="s">
        <v>491</v>
      </c>
      <c r="B28" s="210"/>
      <c r="C28" s="210"/>
      <c r="D28" s="210"/>
      <c r="E28" s="210"/>
      <c r="F28" s="210"/>
      <c r="G28" s="210"/>
      <c r="H28" s="214" t="s">
        <v>41</v>
      </c>
      <c r="J28" s="210"/>
      <c r="L28" s="477" t="s">
        <v>481</v>
      </c>
      <c r="M28" s="205"/>
      <c r="N28" s="205"/>
    </row>
  </sheetData>
  <sheetProtection selectLockedCells="1" selectUnlockedCells="1"/>
  <mergeCells count="30">
    <mergeCell ref="K25:N25"/>
    <mergeCell ref="M16:N16"/>
    <mergeCell ref="M19:N19"/>
    <mergeCell ref="K14:K15"/>
    <mergeCell ref="A8:B9"/>
    <mergeCell ref="D8:K8"/>
    <mergeCell ref="D9:K9"/>
    <mergeCell ref="D10:K10"/>
    <mergeCell ref="L14:L15"/>
    <mergeCell ref="M14:N15"/>
    <mergeCell ref="G14:G15"/>
    <mergeCell ref="H14:H15"/>
    <mergeCell ref="I14:I15"/>
    <mergeCell ref="J14:J15"/>
    <mergeCell ref="A14:A15"/>
    <mergeCell ref="B14:D15"/>
    <mergeCell ref="E14:E15"/>
    <mergeCell ref="F14:F15"/>
    <mergeCell ref="A6:C6"/>
    <mergeCell ref="D6:K6"/>
    <mergeCell ref="L6:N6"/>
    <mergeCell ref="A7:B7"/>
    <mergeCell ref="C7:K7"/>
    <mergeCell ref="L7:N7"/>
    <mergeCell ref="A5:C5"/>
    <mergeCell ref="L5:N5"/>
    <mergeCell ref="A1:N1"/>
    <mergeCell ref="A2:N2"/>
    <mergeCell ref="A3:N3"/>
    <mergeCell ref="A4:N4"/>
  </mergeCells>
  <phoneticPr fontId="33" type="noConversion"/>
  <pageMargins left="0.15748031496062992" right="0.23622047244094491" top="0.27559055118110237" bottom="0.19685039370078741" header="0" footer="0"/>
  <pageSetup paperSize="9" firstPageNumber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opLeftCell="A11" zoomScaleSheetLayoutView="100" workbookViewId="0">
      <selection activeCell="L22" sqref="L22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285156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9.8554687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7"/>
      <c r="C5" s="757"/>
      <c r="D5" s="757"/>
      <c r="E5" s="757"/>
      <c r="F5" s="757"/>
      <c r="G5" s="757"/>
      <c r="H5" s="757"/>
      <c r="I5" s="757"/>
      <c r="J5" s="757"/>
      <c r="K5" s="757"/>
      <c r="L5" s="757"/>
      <c r="M5" s="757"/>
      <c r="N5" s="757"/>
    </row>
    <row r="6" spans="1:14" ht="28.15" customHeight="1" x14ac:dyDescent="0.2">
      <c r="A6" s="186"/>
      <c r="B6" s="757"/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</row>
    <row r="7" spans="1:14" ht="13.5" x14ac:dyDescent="0.25">
      <c r="A7" s="970" t="s">
        <v>681</v>
      </c>
      <c r="B7" s="970"/>
      <c r="C7" s="760"/>
      <c r="D7" s="1"/>
      <c r="E7" s="1"/>
      <c r="F7" s="1"/>
      <c r="G7" s="1"/>
      <c r="H7" s="1"/>
      <c r="I7" s="1"/>
      <c r="J7" s="1"/>
      <c r="K7" s="1"/>
      <c r="L7" s="971" t="s">
        <v>42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1004">
        <v>190</v>
      </c>
      <c r="B10" s="1005"/>
      <c r="C10" s="759"/>
      <c r="D10" s="980" t="s">
        <v>533</v>
      </c>
      <c r="E10" s="981"/>
      <c r="F10" s="981"/>
      <c r="G10" s="981"/>
      <c r="H10" s="981"/>
      <c r="I10" s="981"/>
      <c r="J10" s="981"/>
      <c r="K10" s="981"/>
      <c r="L10" s="755" t="s">
        <v>8</v>
      </c>
      <c r="M10" s="755" t="s">
        <v>9</v>
      </c>
      <c r="N10" s="755" t="s">
        <v>10</v>
      </c>
    </row>
    <row r="11" spans="1:14" ht="15.75" x14ac:dyDescent="0.25">
      <c r="A11" s="1006"/>
      <c r="B11" s="1007"/>
      <c r="C11" s="759"/>
      <c r="D11" s="980" t="s">
        <v>43</v>
      </c>
      <c r="E11" s="980"/>
      <c r="F11" s="980"/>
      <c r="G11" s="980"/>
      <c r="H11" s="980"/>
      <c r="I11" s="980"/>
      <c r="J11" s="980"/>
      <c r="K11" s="980"/>
      <c r="L11" s="4">
        <v>67</v>
      </c>
      <c r="M11" s="4">
        <v>115</v>
      </c>
      <c r="N11" s="4">
        <v>145</v>
      </c>
    </row>
    <row r="12" spans="1:14" ht="16.5" thickBot="1" x14ac:dyDescent="0.3">
      <c r="A12" s="5"/>
      <c r="B12" s="384"/>
      <c r="C12" s="759"/>
      <c r="D12" s="980" t="s">
        <v>82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7"/>
      <c r="G13" s="757"/>
      <c r="H13" s="757"/>
      <c r="I13" s="757"/>
      <c r="J13" s="757"/>
      <c r="K13" s="757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7"/>
      <c r="G14" s="757"/>
      <c r="H14" s="757"/>
      <c r="I14" s="757"/>
      <c r="J14" s="757"/>
      <c r="K14" s="757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46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817" t="s">
        <v>686</v>
      </c>
      <c r="B18" s="799" t="s">
        <v>574</v>
      </c>
      <c r="C18" s="493"/>
      <c r="D18" s="811"/>
      <c r="E18" s="362">
        <v>1988</v>
      </c>
      <c r="F18" s="362" t="s">
        <v>10</v>
      </c>
      <c r="G18" s="466" t="s">
        <v>565</v>
      </c>
      <c r="H18" s="362"/>
      <c r="I18" s="465">
        <v>60.45</v>
      </c>
      <c r="J18" s="466">
        <v>183</v>
      </c>
      <c r="K18" s="466">
        <v>20</v>
      </c>
      <c r="L18" s="362" t="s">
        <v>10</v>
      </c>
      <c r="M18" s="387" t="s">
        <v>209</v>
      </c>
      <c r="N18" s="812"/>
    </row>
    <row r="19" spans="1:14" s="24" customFormat="1" ht="17.25" customHeight="1" x14ac:dyDescent="0.25">
      <c r="A19" s="817" t="s">
        <v>687</v>
      </c>
      <c r="B19" s="800" t="s">
        <v>307</v>
      </c>
      <c r="C19" s="522"/>
      <c r="D19" s="523"/>
      <c r="E19" s="480">
        <v>1994</v>
      </c>
      <c r="F19" s="469" t="s">
        <v>10</v>
      </c>
      <c r="G19" s="473" t="s">
        <v>32</v>
      </c>
      <c r="H19" s="469"/>
      <c r="I19" s="468">
        <v>59.35</v>
      </c>
      <c r="J19" s="469">
        <v>181</v>
      </c>
      <c r="K19" s="469">
        <v>18</v>
      </c>
      <c r="L19" s="362" t="s">
        <v>10</v>
      </c>
      <c r="M19" s="783" t="s">
        <v>573</v>
      </c>
      <c r="N19" s="810"/>
    </row>
    <row r="20" spans="1:14" s="24" customFormat="1" ht="18.75" customHeight="1" x14ac:dyDescent="0.25">
      <c r="A20" s="817" t="s">
        <v>688</v>
      </c>
      <c r="B20" s="390" t="s">
        <v>569</v>
      </c>
      <c r="C20" s="308"/>
      <c r="D20" s="309"/>
      <c r="E20" s="507">
        <v>1984</v>
      </c>
      <c r="F20" s="467" t="s">
        <v>10</v>
      </c>
      <c r="G20" s="466" t="s">
        <v>489</v>
      </c>
      <c r="H20" s="466"/>
      <c r="I20" s="465">
        <v>62</v>
      </c>
      <c r="J20" s="466">
        <v>171</v>
      </c>
      <c r="K20" s="466">
        <v>16</v>
      </c>
      <c r="L20" s="362" t="s">
        <v>10</v>
      </c>
      <c r="M20" s="387" t="s">
        <v>29</v>
      </c>
      <c r="N20" s="812"/>
    </row>
    <row r="21" spans="1:14" s="24" customFormat="1" ht="17.25" customHeight="1" x14ac:dyDescent="0.25">
      <c r="A21" s="817" t="s">
        <v>689</v>
      </c>
      <c r="B21" s="387" t="s">
        <v>572</v>
      </c>
      <c r="C21" s="225"/>
      <c r="D21" s="226"/>
      <c r="E21" s="227">
        <v>1987</v>
      </c>
      <c r="F21" s="228" t="s">
        <v>10</v>
      </c>
      <c r="G21" s="231" t="s">
        <v>33</v>
      </c>
      <c r="H21" s="231"/>
      <c r="I21" s="230">
        <v>62.6</v>
      </c>
      <c r="J21" s="231">
        <v>152</v>
      </c>
      <c r="K21" s="231">
        <v>15</v>
      </c>
      <c r="L21" s="362" t="s">
        <v>10</v>
      </c>
      <c r="M21" s="224" t="s">
        <v>34</v>
      </c>
      <c r="N21" s="233"/>
    </row>
    <row r="22" spans="1:14" s="24" customFormat="1" ht="15.75" customHeight="1" x14ac:dyDescent="0.25">
      <c r="A22" s="817" t="s">
        <v>690</v>
      </c>
      <c r="B22" s="489" t="s">
        <v>570</v>
      </c>
      <c r="C22" s="478"/>
      <c r="D22" s="479"/>
      <c r="E22" s="480">
        <v>1995</v>
      </c>
      <c r="F22" s="505" t="s">
        <v>8</v>
      </c>
      <c r="G22" s="469" t="s">
        <v>33</v>
      </c>
      <c r="H22" s="469"/>
      <c r="I22" s="468">
        <v>61.75</v>
      </c>
      <c r="J22" s="469">
        <v>115</v>
      </c>
      <c r="K22" s="469">
        <v>14</v>
      </c>
      <c r="L22" s="818" t="s">
        <v>718</v>
      </c>
      <c r="M22" s="462" t="s">
        <v>571</v>
      </c>
      <c r="N22" s="802"/>
    </row>
    <row r="23" spans="1:14" s="24" customFormat="1" ht="15" x14ac:dyDescent="0.25">
      <c r="A23" s="817" t="s">
        <v>691</v>
      </c>
      <c r="B23" s="388" t="s">
        <v>48</v>
      </c>
      <c r="C23" s="242"/>
      <c r="D23" s="243"/>
      <c r="E23" s="263">
        <v>1986</v>
      </c>
      <c r="F23" s="244" t="s">
        <v>9</v>
      </c>
      <c r="G23" s="244" t="s">
        <v>33</v>
      </c>
      <c r="H23" s="511"/>
      <c r="I23" s="91">
        <v>61.9</v>
      </c>
      <c r="J23" s="245">
        <v>101</v>
      </c>
      <c r="K23" s="245">
        <v>13</v>
      </c>
      <c r="L23" s="467" t="s">
        <v>8</v>
      </c>
      <c r="M23" s="232" t="s">
        <v>49</v>
      </c>
      <c r="N23" s="246"/>
    </row>
    <row r="24" spans="1:14" s="24" customFormat="1" ht="15" x14ac:dyDescent="0.25">
      <c r="A24" s="817" t="s">
        <v>692</v>
      </c>
      <c r="B24" s="800" t="s">
        <v>568</v>
      </c>
      <c r="C24" s="522"/>
      <c r="D24" s="523"/>
      <c r="E24" s="480">
        <v>1995</v>
      </c>
      <c r="F24" s="469" t="s">
        <v>8</v>
      </c>
      <c r="G24" s="469" t="s">
        <v>35</v>
      </c>
      <c r="H24" s="469"/>
      <c r="I24" s="468">
        <v>60.2</v>
      </c>
      <c r="J24" s="469">
        <v>73</v>
      </c>
      <c r="K24" s="469">
        <v>12</v>
      </c>
      <c r="L24" s="469" t="s">
        <v>8</v>
      </c>
      <c r="M24" s="800" t="s">
        <v>676</v>
      </c>
      <c r="N24" s="810"/>
    </row>
    <row r="25" spans="1:14" s="24" customFormat="1" ht="15" x14ac:dyDescent="0.25">
      <c r="A25" s="817" t="s">
        <v>693</v>
      </c>
      <c r="B25" s="388" t="s">
        <v>722</v>
      </c>
      <c r="C25" s="242"/>
      <c r="D25" s="243"/>
      <c r="E25" s="397">
        <v>1997</v>
      </c>
      <c r="F25" s="244" t="s">
        <v>8</v>
      </c>
      <c r="G25" s="469" t="s">
        <v>35</v>
      </c>
      <c r="H25" s="469"/>
      <c r="I25" s="468">
        <v>62</v>
      </c>
      <c r="J25" s="469">
        <v>65</v>
      </c>
      <c r="K25" s="469">
        <v>11</v>
      </c>
      <c r="L25" s="469"/>
      <c r="M25" s="800" t="s">
        <v>723</v>
      </c>
      <c r="N25" s="810"/>
    </row>
    <row r="26" spans="1:14" s="24" customFormat="1" ht="15" x14ac:dyDescent="0.25">
      <c r="A26" s="817" t="s">
        <v>709</v>
      </c>
      <c r="B26" s="388" t="s">
        <v>724</v>
      </c>
      <c r="C26" s="242"/>
      <c r="D26" s="243"/>
      <c r="E26" s="397">
        <v>1996</v>
      </c>
      <c r="F26" s="244" t="s">
        <v>8</v>
      </c>
      <c r="G26" s="399" t="s">
        <v>35</v>
      </c>
      <c r="H26" s="245"/>
      <c r="I26" s="398">
        <v>58.4</v>
      </c>
      <c r="J26" s="399">
        <v>60</v>
      </c>
      <c r="K26" s="245">
        <v>10</v>
      </c>
      <c r="L26" s="473"/>
      <c r="M26" s="241" t="s">
        <v>725</v>
      </c>
      <c r="N26" s="246"/>
    </row>
    <row r="27" spans="1:14" s="24" customFormat="1" ht="15" x14ac:dyDescent="0.25">
      <c r="A27" s="817" t="s">
        <v>710</v>
      </c>
      <c r="B27" s="487" t="s">
        <v>726</v>
      </c>
      <c r="C27" s="499"/>
      <c r="D27" s="500"/>
      <c r="E27" s="511">
        <v>1992</v>
      </c>
      <c r="F27" s="244" t="s">
        <v>8</v>
      </c>
      <c r="G27" s="399" t="s">
        <v>218</v>
      </c>
      <c r="H27" s="245"/>
      <c r="I27" s="398">
        <v>62</v>
      </c>
      <c r="J27" s="399">
        <v>55</v>
      </c>
      <c r="K27" s="245">
        <v>9</v>
      </c>
      <c r="L27" s="473"/>
      <c r="M27" s="241" t="s">
        <v>727</v>
      </c>
      <c r="N27" s="246"/>
    </row>
    <row r="28" spans="1:14" x14ac:dyDescent="0.2">
      <c r="A28" s="17"/>
      <c r="B28" s="2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13.5" x14ac:dyDescent="0.25">
      <c r="A29" s="214" t="s">
        <v>534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761"/>
      <c r="L29" s="475" t="s">
        <v>536</v>
      </c>
      <c r="N29" s="761"/>
    </row>
    <row r="30" spans="1:14" ht="13.5" x14ac:dyDescent="0.25">
      <c r="A30" s="214"/>
      <c r="B30" s="383"/>
      <c r="C30" s="761"/>
      <c r="D30" s="17"/>
      <c r="E30" s="17"/>
      <c r="F30" s="17"/>
      <c r="G30" s="17"/>
      <c r="H30" s="214"/>
      <c r="J30" s="17"/>
      <c r="K30" s="761"/>
      <c r="L30" s="476"/>
      <c r="M30" s="17"/>
      <c r="N30" s="17"/>
    </row>
    <row r="31" spans="1:14" ht="13.5" x14ac:dyDescent="0.25">
      <c r="A31" s="214" t="s">
        <v>535</v>
      </c>
      <c r="B31" s="210"/>
      <c r="C31" s="210"/>
      <c r="D31" s="210"/>
      <c r="E31" s="210"/>
      <c r="F31" s="210"/>
      <c r="G31" s="210"/>
      <c r="H31" s="214" t="s">
        <v>41</v>
      </c>
      <c r="J31" s="210"/>
      <c r="L31" s="477" t="s">
        <v>537</v>
      </c>
      <c r="M31" s="761"/>
      <c r="N31" s="761"/>
    </row>
  </sheetData>
  <sortState ref="A18:N26">
    <sortCondition descending="1" ref="J18:J26"/>
  </sortState>
  <mergeCells count="27">
    <mergeCell ref="B1:N1"/>
    <mergeCell ref="B2:N2"/>
    <mergeCell ref="B3:N3"/>
    <mergeCell ref="B4:N4"/>
    <mergeCell ref="A7:B7"/>
    <mergeCell ref="L7:N7"/>
    <mergeCell ref="A8:B8"/>
    <mergeCell ref="D8:K8"/>
    <mergeCell ref="L8:N8"/>
    <mergeCell ref="A9:B9"/>
    <mergeCell ref="C9:K9"/>
    <mergeCell ref="L9:N9"/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colBreaks count="1" manualBreakCount="1">
    <brk id="14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zoomScale="110" zoomScaleNormal="110" zoomScaleSheetLayoutView="110" workbookViewId="0">
      <selection activeCell="A7" sqref="A7:B9"/>
    </sheetView>
  </sheetViews>
  <sheetFormatPr defaultRowHeight="12.75" x14ac:dyDescent="0.2"/>
  <cols>
    <col min="1" max="1" width="6.140625" customWidth="1"/>
    <col min="2" max="2" width="10.7109375" style="167" customWidth="1"/>
    <col min="3" max="3" width="10.42578125" customWidth="1"/>
    <col min="4" max="4" width="4.7109375" customWidth="1"/>
    <col min="5" max="5" width="8" customWidth="1"/>
    <col min="6" max="6" width="7.42578125" customWidth="1"/>
    <col min="7" max="7" width="22.85546875" customWidth="1"/>
    <col min="8" max="8" width="9.7109375" customWidth="1"/>
    <col min="9" max="9" width="7.42578125" customWidth="1"/>
    <col min="10" max="10" width="8.42578125" customWidth="1"/>
    <col min="11" max="11" width="11" customWidth="1"/>
    <col min="12" max="12" width="8.28515625" customWidth="1"/>
    <col min="13" max="13" width="8.7109375" customWidth="1"/>
    <col min="14" max="14" width="21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1"/>
      <c r="E5" s="1"/>
      <c r="F5" s="1"/>
      <c r="G5" s="1"/>
      <c r="H5" s="1"/>
      <c r="I5" s="1"/>
      <c r="J5" s="1"/>
      <c r="K5" s="1"/>
      <c r="L5" s="971" t="s">
        <v>42</v>
      </c>
      <c r="M5" s="971"/>
      <c r="N5" s="971"/>
    </row>
    <row r="6" spans="1:14" ht="13.5" customHeight="1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3.5" customHeight="1" x14ac:dyDescent="0.25">
      <c r="A8" s="1000">
        <v>168</v>
      </c>
      <c r="B8" s="1001"/>
      <c r="C8" s="434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3.5" customHeight="1" x14ac:dyDescent="0.25">
      <c r="A9" s="1002"/>
      <c r="B9" s="1003"/>
      <c r="C9" s="434"/>
      <c r="D9" s="980" t="s">
        <v>43</v>
      </c>
      <c r="E9" s="980"/>
      <c r="F9" s="980"/>
      <c r="G9" s="980"/>
      <c r="H9" s="980"/>
      <c r="I9" s="980"/>
      <c r="J9" s="980"/>
      <c r="K9" s="980"/>
      <c r="L9" s="4">
        <v>71</v>
      </c>
      <c r="M9" s="4">
        <v>125</v>
      </c>
      <c r="N9" s="4">
        <v>153</v>
      </c>
    </row>
    <row r="10" spans="1:14" ht="20.25" customHeight="1" thickBot="1" x14ac:dyDescent="0.3">
      <c r="A10" s="5"/>
      <c r="B10" s="384"/>
      <c r="C10" s="434"/>
      <c r="D10" s="980" t="s">
        <v>118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3.5" customHeight="1" x14ac:dyDescent="0.2">
      <c r="A11" s="5"/>
      <c r="B11" s="385" t="s">
        <v>13</v>
      </c>
      <c r="C11" s="8"/>
      <c r="D11" s="9"/>
      <c r="E11" s="10">
        <v>44</v>
      </c>
      <c r="F11" s="11"/>
      <c r="G11" s="11"/>
      <c r="H11" s="11"/>
      <c r="I11" s="11"/>
      <c r="J11" s="11"/>
      <c r="K11" s="11"/>
      <c r="L11" s="6"/>
      <c r="M11" s="6"/>
      <c r="N11" s="6"/>
    </row>
    <row r="12" spans="1:14" ht="13.5" customHeight="1" thickBot="1" x14ac:dyDescent="0.25">
      <c r="A12" s="5"/>
      <c r="B12" s="386" t="s">
        <v>14</v>
      </c>
      <c r="C12" s="14"/>
      <c r="D12" s="15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ht="10.5" customHeight="1" x14ac:dyDescent="0.2">
      <c r="A13" s="38"/>
      <c r="B13" s="391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s="36" customFormat="1" ht="10.5" customHeight="1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45</v>
      </c>
      <c r="G14" s="972" t="s">
        <v>19</v>
      </c>
      <c r="H14" s="973" t="s">
        <v>20</v>
      </c>
      <c r="I14" s="972" t="s">
        <v>21</v>
      </c>
      <c r="J14" s="972" t="s">
        <v>46</v>
      </c>
      <c r="K14" s="972" t="s">
        <v>23</v>
      </c>
      <c r="L14" s="972" t="s">
        <v>24</v>
      </c>
      <c r="M14" s="972" t="s">
        <v>25</v>
      </c>
      <c r="N14" s="972"/>
    </row>
    <row r="15" spans="1:14" s="36" customFormat="1" ht="10.5" customHeight="1" x14ac:dyDescent="0.2">
      <c r="A15" s="973"/>
      <c r="B15" s="973"/>
      <c r="C15" s="973"/>
      <c r="D15" s="973"/>
      <c r="E15" s="973"/>
      <c r="F15" s="973"/>
      <c r="G15" s="973"/>
      <c r="H15" s="999"/>
      <c r="I15" s="972"/>
      <c r="J15" s="972"/>
      <c r="K15" s="972"/>
      <c r="L15" s="972"/>
      <c r="M15" s="972"/>
      <c r="N15" s="972"/>
    </row>
    <row r="16" spans="1:14" s="36" customFormat="1" ht="18.75" customHeight="1" x14ac:dyDescent="0.25">
      <c r="A16" s="39">
        <v>1</v>
      </c>
      <c r="B16" s="390" t="s">
        <v>266</v>
      </c>
      <c r="C16" s="308"/>
      <c r="D16" s="309"/>
      <c r="E16" s="228">
        <v>1988</v>
      </c>
      <c r="F16" s="231" t="s">
        <v>9</v>
      </c>
      <c r="G16" s="231" t="s">
        <v>86</v>
      </c>
      <c r="H16" s="552" t="s">
        <v>31</v>
      </c>
      <c r="I16" s="131">
        <v>63.05</v>
      </c>
      <c r="J16" s="245">
        <v>183</v>
      </c>
      <c r="K16" s="315">
        <v>20</v>
      </c>
      <c r="L16" s="228" t="s">
        <v>10</v>
      </c>
      <c r="M16" s="424" t="s">
        <v>267</v>
      </c>
      <c r="N16" s="370"/>
    </row>
    <row r="17" spans="1:17" s="24" customFormat="1" ht="13.5" customHeight="1" x14ac:dyDescent="0.25">
      <c r="A17" s="39">
        <f t="shared" ref="A17:A25" si="0">A16+1</f>
        <v>2</v>
      </c>
      <c r="B17" s="390" t="s">
        <v>263</v>
      </c>
      <c r="C17" s="308"/>
      <c r="D17" s="309"/>
      <c r="E17" s="227">
        <v>1999</v>
      </c>
      <c r="F17" s="228" t="s">
        <v>10</v>
      </c>
      <c r="G17" s="231" t="s">
        <v>129</v>
      </c>
      <c r="H17" s="231" t="s">
        <v>31</v>
      </c>
      <c r="I17" s="230">
        <v>68</v>
      </c>
      <c r="J17" s="231">
        <v>173</v>
      </c>
      <c r="K17" s="231">
        <v>18</v>
      </c>
      <c r="L17" s="228" t="s">
        <v>10</v>
      </c>
      <c r="M17" s="248" t="s">
        <v>239</v>
      </c>
      <c r="N17" s="226"/>
    </row>
    <row r="18" spans="1:17" s="24" customFormat="1" ht="13.5" customHeight="1" x14ac:dyDescent="0.25">
      <c r="A18" s="39">
        <f t="shared" si="0"/>
        <v>3</v>
      </c>
      <c r="B18" s="489" t="s">
        <v>264</v>
      </c>
      <c r="C18" s="478"/>
      <c r="D18" s="479"/>
      <c r="E18" s="480">
        <v>1990</v>
      </c>
      <c r="F18" s="469" t="s">
        <v>10</v>
      </c>
      <c r="G18" s="549" t="s">
        <v>32</v>
      </c>
      <c r="H18" s="469" t="s">
        <v>31</v>
      </c>
      <c r="I18" s="468">
        <v>63.45</v>
      </c>
      <c r="J18" s="469">
        <v>163</v>
      </c>
      <c r="K18" s="469">
        <v>16</v>
      </c>
      <c r="L18" s="228" t="s">
        <v>10</v>
      </c>
      <c r="M18" s="489" t="s">
        <v>265</v>
      </c>
      <c r="N18" s="479"/>
      <c r="O18" s="45"/>
      <c r="P18" s="46"/>
      <c r="Q18" s="46"/>
    </row>
    <row r="19" spans="1:17" s="24" customFormat="1" ht="13.5" customHeight="1" x14ac:dyDescent="0.25">
      <c r="A19" s="39">
        <f t="shared" si="0"/>
        <v>4</v>
      </c>
      <c r="B19" s="392" t="s">
        <v>270</v>
      </c>
      <c r="C19" s="302"/>
      <c r="D19" s="303"/>
      <c r="E19" s="263">
        <v>1990</v>
      </c>
      <c r="F19" s="231" t="s">
        <v>8</v>
      </c>
      <c r="G19" s="231" t="s">
        <v>494</v>
      </c>
      <c r="H19" s="231" t="s">
        <v>272</v>
      </c>
      <c r="I19" s="230">
        <v>66.599999999999994</v>
      </c>
      <c r="J19" s="245">
        <v>126</v>
      </c>
      <c r="K19" s="245">
        <v>15</v>
      </c>
      <c r="L19" s="231" t="s">
        <v>9</v>
      </c>
      <c r="M19" s="248" t="s">
        <v>273</v>
      </c>
      <c r="N19" s="226"/>
    </row>
    <row r="20" spans="1:17" s="50" customFormat="1" ht="13.5" customHeight="1" x14ac:dyDescent="0.25">
      <c r="A20" s="39">
        <f t="shared" si="0"/>
        <v>5</v>
      </c>
      <c r="B20" s="387" t="s">
        <v>268</v>
      </c>
      <c r="C20" s="432"/>
      <c r="D20" s="501"/>
      <c r="E20" s="507">
        <v>1995</v>
      </c>
      <c r="F20" s="362" t="s">
        <v>8</v>
      </c>
      <c r="G20" s="466" t="s">
        <v>27</v>
      </c>
      <c r="H20" s="362"/>
      <c r="I20" s="465">
        <v>68</v>
      </c>
      <c r="J20" s="466">
        <v>100</v>
      </c>
      <c r="K20" s="466">
        <v>14</v>
      </c>
      <c r="L20" s="362" t="s">
        <v>8</v>
      </c>
      <c r="M20" s="550" t="s">
        <v>269</v>
      </c>
      <c r="N20" s="309"/>
    </row>
    <row r="21" spans="1:17" s="50" customFormat="1" ht="13.5" customHeight="1" x14ac:dyDescent="0.25">
      <c r="A21" s="39">
        <f t="shared" si="0"/>
        <v>6</v>
      </c>
      <c r="B21" s="1012" t="s">
        <v>274</v>
      </c>
      <c r="C21" s="1013"/>
      <c r="D21" s="1014"/>
      <c r="E21" s="496">
        <v>1992</v>
      </c>
      <c r="F21" s="496" t="s">
        <v>8</v>
      </c>
      <c r="G21" s="471" t="s">
        <v>218</v>
      </c>
      <c r="H21" s="471"/>
      <c r="I21" s="470">
        <v>67.849999999999994</v>
      </c>
      <c r="J21" s="551">
        <v>74</v>
      </c>
      <c r="K21" s="471">
        <v>13</v>
      </c>
      <c r="L21" s="362" t="s">
        <v>8</v>
      </c>
      <c r="M21" s="423" t="s">
        <v>275</v>
      </c>
      <c r="N21" s="423"/>
    </row>
    <row r="22" spans="1:17" s="50" customFormat="1" ht="13.5" customHeight="1" x14ac:dyDescent="0.25">
      <c r="A22" s="39">
        <f t="shared" si="0"/>
        <v>7</v>
      </c>
      <c r="B22" s="392" t="s">
        <v>319</v>
      </c>
      <c r="C22" s="302"/>
      <c r="D22" s="303"/>
      <c r="E22" s="511">
        <v>1998</v>
      </c>
      <c r="F22" s="511">
        <v>1</v>
      </c>
      <c r="G22" s="244" t="s">
        <v>493</v>
      </c>
      <c r="H22" s="245"/>
      <c r="I22" s="91">
        <v>68</v>
      </c>
      <c r="J22" s="245">
        <v>54</v>
      </c>
      <c r="K22" s="245">
        <v>12</v>
      </c>
      <c r="L22" s="264"/>
      <c r="M22" s="241" t="s">
        <v>322</v>
      </c>
      <c r="N22" s="537"/>
    </row>
    <row r="23" spans="1:17" ht="13.5" customHeight="1" x14ac:dyDescent="0.25">
      <c r="A23" s="39">
        <f t="shared" si="0"/>
        <v>8</v>
      </c>
      <c r="B23" s="392" t="s">
        <v>450</v>
      </c>
      <c r="C23" s="302"/>
      <c r="D23" s="303"/>
      <c r="E23" s="511">
        <v>1996</v>
      </c>
      <c r="F23" s="511" t="s">
        <v>8</v>
      </c>
      <c r="G23" s="244" t="s">
        <v>353</v>
      </c>
      <c r="H23" s="245"/>
      <c r="I23" s="91">
        <v>67.8</v>
      </c>
      <c r="J23" s="245">
        <v>50</v>
      </c>
      <c r="K23" s="245" t="s">
        <v>453</v>
      </c>
      <c r="L23" s="264"/>
      <c r="M23" s="241" t="s">
        <v>230</v>
      </c>
      <c r="N23" s="537"/>
    </row>
    <row r="24" spans="1:17" ht="13.5" customHeight="1" x14ac:dyDescent="0.25">
      <c r="A24" s="39">
        <f t="shared" si="0"/>
        <v>9</v>
      </c>
      <c r="B24" s="392" t="s">
        <v>451</v>
      </c>
      <c r="C24" s="302"/>
      <c r="D24" s="303"/>
      <c r="E24" s="511">
        <v>1995</v>
      </c>
      <c r="F24" s="511">
        <v>1</v>
      </c>
      <c r="G24" s="244" t="s">
        <v>353</v>
      </c>
      <c r="H24" s="245"/>
      <c r="I24" s="91">
        <v>63.8</v>
      </c>
      <c r="J24" s="245">
        <v>45</v>
      </c>
      <c r="K24" s="245" t="s">
        <v>453</v>
      </c>
      <c r="L24" s="264"/>
      <c r="M24" s="241" t="s">
        <v>230</v>
      </c>
      <c r="N24" s="537"/>
    </row>
    <row r="25" spans="1:17" ht="15" x14ac:dyDescent="0.25">
      <c r="A25" s="39">
        <f t="shared" si="0"/>
        <v>10</v>
      </c>
      <c r="B25" s="392" t="s">
        <v>452</v>
      </c>
      <c r="C25" s="302"/>
      <c r="D25" s="303"/>
      <c r="E25" s="511">
        <v>1986</v>
      </c>
      <c r="F25" s="511" t="s">
        <v>8</v>
      </c>
      <c r="G25" s="244" t="s">
        <v>493</v>
      </c>
      <c r="H25" s="245"/>
      <c r="I25" s="91">
        <v>65.8</v>
      </c>
      <c r="J25" s="245">
        <v>44</v>
      </c>
      <c r="K25" s="245" t="s">
        <v>453</v>
      </c>
      <c r="L25" s="264"/>
      <c r="M25" s="241" t="s">
        <v>128</v>
      </c>
      <c r="N25" s="537"/>
    </row>
    <row r="26" spans="1:17" ht="15.75" x14ac:dyDescent="0.25">
      <c r="A26" s="173"/>
      <c r="B26" s="444"/>
      <c r="C26" s="444"/>
      <c r="D26" s="444"/>
      <c r="E26" s="445"/>
      <c r="F26" s="445"/>
      <c r="G26" s="440"/>
      <c r="H26" s="304"/>
      <c r="I26" s="439"/>
      <c r="J26" s="326"/>
      <c r="K26" s="326"/>
      <c r="L26" s="446"/>
      <c r="M26" s="270"/>
      <c r="N26" s="333"/>
    </row>
    <row r="27" spans="1:17" x14ac:dyDescent="0.2">
      <c r="A27" s="1015" t="s">
        <v>456</v>
      </c>
      <c r="B27" s="1016"/>
      <c r="C27" s="1016"/>
      <c r="D27" s="1016"/>
      <c r="E27" s="1016"/>
      <c r="F27" s="1016"/>
      <c r="G27" s="1016"/>
      <c r="H27" s="1016"/>
      <c r="I27" s="1016"/>
      <c r="J27" s="1016"/>
      <c r="K27" s="1016"/>
      <c r="L27" s="1016"/>
      <c r="M27" s="1016"/>
      <c r="N27" s="1016"/>
    </row>
    <row r="28" spans="1:17" x14ac:dyDescent="0.2">
      <c r="A28" s="57"/>
      <c r="B28" s="394"/>
      <c r="C28" s="57"/>
      <c r="D28" s="57"/>
      <c r="F28" s="57"/>
      <c r="G28" s="57"/>
      <c r="H28" s="57"/>
      <c r="I28" s="57"/>
      <c r="J28" s="57"/>
      <c r="K28" s="998"/>
      <c r="L28" s="998"/>
      <c r="M28" s="998"/>
      <c r="N28" s="998"/>
    </row>
    <row r="29" spans="1:17" ht="13.5" x14ac:dyDescent="0.25">
      <c r="A29" s="214" t="s">
        <v>480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205"/>
      <c r="L29" s="475" t="s">
        <v>479</v>
      </c>
      <c r="N29" s="205"/>
    </row>
    <row r="30" spans="1:17" ht="13.5" x14ac:dyDescent="0.25">
      <c r="A30" s="214"/>
      <c r="B30" s="383"/>
      <c r="C30" s="205"/>
      <c r="D30" s="17"/>
      <c r="E30" s="17"/>
      <c r="F30" s="17"/>
      <c r="G30" s="17"/>
      <c r="H30" s="214"/>
      <c r="J30" s="17"/>
      <c r="K30" s="205"/>
      <c r="L30" s="476"/>
      <c r="M30" s="17"/>
      <c r="N30" s="17"/>
    </row>
    <row r="31" spans="1:17" ht="13.5" x14ac:dyDescent="0.25">
      <c r="A31" s="214" t="s">
        <v>491</v>
      </c>
      <c r="B31" s="210"/>
      <c r="C31" s="210"/>
      <c r="D31" s="210"/>
      <c r="E31" s="210"/>
      <c r="F31" s="210"/>
      <c r="G31" s="210"/>
      <c r="H31" s="214" t="s">
        <v>41</v>
      </c>
      <c r="J31" s="210"/>
      <c r="L31" s="477" t="s">
        <v>481</v>
      </c>
      <c r="M31" s="205"/>
      <c r="N31" s="205"/>
    </row>
  </sheetData>
  <sheetProtection selectLockedCells="1" selectUnlockedCells="1"/>
  <mergeCells count="30">
    <mergeCell ref="L14:L15"/>
    <mergeCell ref="M14:N15"/>
    <mergeCell ref="K28:N28"/>
    <mergeCell ref="B21:D21"/>
    <mergeCell ref="A27:N27"/>
    <mergeCell ref="A14:A15"/>
    <mergeCell ref="B14:D15"/>
    <mergeCell ref="E14:E15"/>
    <mergeCell ref="F14:F15"/>
    <mergeCell ref="G14:G15"/>
    <mergeCell ref="H14:H15"/>
    <mergeCell ref="I14:I15"/>
    <mergeCell ref="J14:J15"/>
    <mergeCell ref="K14:K15"/>
    <mergeCell ref="A8:B9"/>
    <mergeCell ref="D8:K8"/>
    <mergeCell ref="D9:K9"/>
    <mergeCell ref="D10:K10"/>
    <mergeCell ref="A6:C6"/>
    <mergeCell ref="D6:K6"/>
    <mergeCell ref="A7:B7"/>
    <mergeCell ref="C7:K7"/>
    <mergeCell ref="L7:N7"/>
    <mergeCell ref="A5:C5"/>
    <mergeCell ref="L5:N5"/>
    <mergeCell ref="A1:N1"/>
    <mergeCell ref="A2:N2"/>
    <mergeCell ref="A3:N3"/>
    <mergeCell ref="A4:N4"/>
    <mergeCell ref="L6:N6"/>
  </mergeCells>
  <phoneticPr fontId="33" type="noConversion"/>
  <pageMargins left="0.15748031496062992" right="0.23622047244094491" top="0.27559055118110237" bottom="0.19685039370078741" header="0" footer="0"/>
  <pageSetup paperSize="9" firstPageNumber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topLeftCell="A6" zoomScaleSheetLayoutView="100" workbookViewId="0">
      <selection activeCell="G21" sqref="G21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0.1406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22.8554687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7"/>
      <c r="C5" s="757"/>
      <c r="D5" s="757"/>
      <c r="E5" s="757"/>
      <c r="F5" s="757"/>
      <c r="G5" s="757"/>
      <c r="H5" s="757"/>
      <c r="I5" s="757"/>
      <c r="J5" s="757"/>
      <c r="K5" s="757"/>
      <c r="L5" s="757"/>
      <c r="M5" s="757"/>
      <c r="N5" s="757"/>
    </row>
    <row r="6" spans="1:14" ht="28.15" customHeight="1" x14ac:dyDescent="0.2">
      <c r="A6" s="186"/>
      <c r="B6" s="757"/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</row>
    <row r="7" spans="1:14" ht="13.5" x14ac:dyDescent="0.25">
      <c r="A7" s="970" t="s">
        <v>681</v>
      </c>
      <c r="B7" s="970"/>
      <c r="C7" s="760"/>
      <c r="D7" s="1"/>
      <c r="E7" s="1"/>
      <c r="F7" s="1"/>
      <c r="G7" s="1"/>
      <c r="H7" s="1"/>
      <c r="I7" s="1"/>
      <c r="J7" s="1"/>
      <c r="K7" s="1"/>
      <c r="L7" s="971" t="s">
        <v>42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1004">
        <v>183</v>
      </c>
      <c r="B10" s="1005"/>
      <c r="C10" s="759"/>
      <c r="D10" s="980" t="s">
        <v>533</v>
      </c>
      <c r="E10" s="981"/>
      <c r="F10" s="981"/>
      <c r="G10" s="981"/>
      <c r="H10" s="981"/>
      <c r="I10" s="981"/>
      <c r="J10" s="981"/>
      <c r="K10" s="981"/>
      <c r="L10" s="755" t="s">
        <v>8</v>
      </c>
      <c r="M10" s="755" t="s">
        <v>9</v>
      </c>
      <c r="N10" s="755" t="s">
        <v>10</v>
      </c>
    </row>
    <row r="11" spans="1:14" ht="15.75" x14ac:dyDescent="0.25">
      <c r="A11" s="1006"/>
      <c r="B11" s="1007"/>
      <c r="C11" s="759"/>
      <c r="D11" s="980" t="s">
        <v>43</v>
      </c>
      <c r="E11" s="980"/>
      <c r="F11" s="980"/>
      <c r="G11" s="980"/>
      <c r="H11" s="980"/>
      <c r="I11" s="980"/>
      <c r="J11" s="980"/>
      <c r="K11" s="980"/>
      <c r="L11" s="4">
        <v>71</v>
      </c>
      <c r="M11" s="4">
        <v>125</v>
      </c>
      <c r="N11" s="4">
        <v>153</v>
      </c>
    </row>
    <row r="12" spans="1:14" ht="16.5" thickBot="1" x14ac:dyDescent="0.3">
      <c r="A12" s="5"/>
      <c r="B12" s="384"/>
      <c r="C12" s="759"/>
      <c r="D12" s="980" t="s">
        <v>118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7"/>
      <c r="G13" s="757"/>
      <c r="H13" s="757"/>
      <c r="I13" s="757"/>
      <c r="J13" s="757"/>
      <c r="K13" s="757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7"/>
      <c r="G14" s="757"/>
      <c r="H14" s="757"/>
      <c r="I14" s="757"/>
      <c r="J14" s="757"/>
      <c r="K14" s="757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46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779" t="s">
        <v>686</v>
      </c>
      <c r="B18" s="390" t="s">
        <v>575</v>
      </c>
      <c r="C18" s="308"/>
      <c r="D18" s="309"/>
      <c r="E18" s="507">
        <v>1999</v>
      </c>
      <c r="F18" s="467" t="s">
        <v>10</v>
      </c>
      <c r="G18" s="466" t="s">
        <v>576</v>
      </c>
      <c r="H18" s="466" t="s">
        <v>31</v>
      </c>
      <c r="I18" s="465">
        <v>67.099999999999994</v>
      </c>
      <c r="J18" s="466">
        <v>166</v>
      </c>
      <c r="K18" s="466">
        <v>20</v>
      </c>
      <c r="L18" s="467" t="s">
        <v>10</v>
      </c>
      <c r="M18" s="387" t="s">
        <v>239</v>
      </c>
      <c r="N18" s="812"/>
    </row>
    <row r="19" spans="1:14" s="24" customFormat="1" ht="17.25" customHeight="1" x14ac:dyDescent="0.2">
      <c r="A19" s="779" t="s">
        <v>687</v>
      </c>
      <c r="B19" s="800" t="s">
        <v>268</v>
      </c>
      <c r="C19" s="522"/>
      <c r="D19" s="523"/>
      <c r="E19" s="480">
        <v>1995</v>
      </c>
      <c r="F19" s="469" t="s">
        <v>9</v>
      </c>
      <c r="G19" s="473" t="s">
        <v>27</v>
      </c>
      <c r="H19" s="469"/>
      <c r="I19" s="468">
        <v>63.2</v>
      </c>
      <c r="J19" s="469">
        <v>150</v>
      </c>
      <c r="K19" s="469">
        <v>18</v>
      </c>
      <c r="L19" s="469" t="s">
        <v>9</v>
      </c>
      <c r="M19" s="801" t="s">
        <v>579</v>
      </c>
      <c r="N19" s="810"/>
    </row>
    <row r="20" spans="1:14" s="24" customFormat="1" ht="18.75" customHeight="1" x14ac:dyDescent="0.25">
      <c r="A20" s="779" t="s">
        <v>688</v>
      </c>
      <c r="B20" s="387" t="s">
        <v>578</v>
      </c>
      <c r="C20" s="225"/>
      <c r="D20" s="226"/>
      <c r="E20" s="227">
        <v>1974</v>
      </c>
      <c r="F20" s="228" t="s">
        <v>10</v>
      </c>
      <c r="G20" s="231" t="s">
        <v>492</v>
      </c>
      <c r="H20" s="231"/>
      <c r="I20" s="230">
        <v>63.15</v>
      </c>
      <c r="J20" s="231">
        <v>138</v>
      </c>
      <c r="K20" s="231">
        <v>16</v>
      </c>
      <c r="L20" s="469" t="s">
        <v>9</v>
      </c>
      <c r="M20" s="224" t="s">
        <v>217</v>
      </c>
      <c r="N20" s="233"/>
    </row>
    <row r="21" spans="1:14" s="24" customFormat="1" ht="17.25" customHeight="1" x14ac:dyDescent="0.25">
      <c r="A21" s="779" t="s">
        <v>689</v>
      </c>
      <c r="B21" s="489" t="s">
        <v>450</v>
      </c>
      <c r="C21" s="478"/>
      <c r="D21" s="479"/>
      <c r="E21" s="480">
        <v>1995</v>
      </c>
      <c r="F21" s="505" t="s">
        <v>9</v>
      </c>
      <c r="G21" s="469" t="s">
        <v>732</v>
      </c>
      <c r="H21" s="469"/>
      <c r="I21" s="468">
        <v>66.349999999999994</v>
      </c>
      <c r="J21" s="469">
        <v>134</v>
      </c>
      <c r="K21" s="469">
        <v>15</v>
      </c>
      <c r="L21" s="469" t="s">
        <v>9</v>
      </c>
      <c r="M21" s="462" t="s">
        <v>230</v>
      </c>
      <c r="N21" s="802"/>
    </row>
    <row r="22" spans="1:14" s="24" customFormat="1" ht="15.75" customHeight="1" x14ac:dyDescent="0.25">
      <c r="A22" s="779" t="s">
        <v>690</v>
      </c>
      <c r="B22" s="387" t="s">
        <v>577</v>
      </c>
      <c r="C22" s="225"/>
      <c r="D22" s="226"/>
      <c r="E22" s="227">
        <v>2000</v>
      </c>
      <c r="F22" s="228" t="s">
        <v>8</v>
      </c>
      <c r="G22" s="228" t="s">
        <v>125</v>
      </c>
      <c r="H22" s="161" t="s">
        <v>30</v>
      </c>
      <c r="I22" s="230">
        <v>66.5</v>
      </c>
      <c r="J22" s="231">
        <v>87</v>
      </c>
      <c r="K22" s="231">
        <v>14</v>
      </c>
      <c r="L22" s="467" t="s">
        <v>8</v>
      </c>
      <c r="M22" s="248" t="s">
        <v>128</v>
      </c>
      <c r="N22" s="233"/>
    </row>
    <row r="23" spans="1:14" x14ac:dyDescent="0.2">
      <c r="A23" s="17"/>
      <c r="B23" s="215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13.5" x14ac:dyDescent="0.25">
      <c r="A24" s="214" t="s">
        <v>534</v>
      </c>
      <c r="B24" s="210"/>
      <c r="C24" s="210"/>
      <c r="D24" s="210"/>
      <c r="E24" s="210"/>
      <c r="F24" s="210"/>
      <c r="G24" s="210"/>
      <c r="H24" s="214" t="s">
        <v>40</v>
      </c>
      <c r="J24" s="17"/>
      <c r="K24" s="761"/>
      <c r="L24" s="475" t="s">
        <v>536</v>
      </c>
      <c r="N24" s="761"/>
    </row>
    <row r="25" spans="1:14" ht="13.5" x14ac:dyDescent="0.25">
      <c r="A25" s="214"/>
      <c r="B25" s="383"/>
      <c r="C25" s="761"/>
      <c r="D25" s="17"/>
      <c r="E25" s="17"/>
      <c r="F25" s="17"/>
      <c r="G25" s="17"/>
      <c r="H25" s="214"/>
      <c r="J25" s="17"/>
      <c r="K25" s="761"/>
      <c r="L25" s="476"/>
      <c r="M25" s="17"/>
      <c r="N25" s="17"/>
    </row>
    <row r="26" spans="1:14" ht="13.5" x14ac:dyDescent="0.25">
      <c r="A26" s="214" t="s">
        <v>535</v>
      </c>
      <c r="B26" s="210"/>
      <c r="C26" s="210"/>
      <c r="D26" s="210"/>
      <c r="E26" s="210"/>
      <c r="F26" s="210"/>
      <c r="G26" s="210"/>
      <c r="H26" s="214" t="s">
        <v>41</v>
      </c>
      <c r="J26" s="210"/>
      <c r="L26" s="477" t="s">
        <v>537</v>
      </c>
      <c r="M26" s="761"/>
      <c r="N26" s="761"/>
    </row>
  </sheetData>
  <sortState ref="B18:N22">
    <sortCondition descending="1" ref="J18:J22"/>
  </sortState>
  <mergeCells count="27">
    <mergeCell ref="B1:N1"/>
    <mergeCell ref="B2:N2"/>
    <mergeCell ref="B3:N3"/>
    <mergeCell ref="B4:N4"/>
    <mergeCell ref="A7:B7"/>
    <mergeCell ref="L7:N7"/>
    <mergeCell ref="A8:B8"/>
    <mergeCell ref="D8:K8"/>
    <mergeCell ref="L8:N8"/>
    <mergeCell ref="A9:B9"/>
    <mergeCell ref="C9:K9"/>
    <mergeCell ref="L9:N9"/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  <colBreaks count="1" manualBreakCount="1">
    <brk id="14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5"/>
  <sheetViews>
    <sheetView zoomScale="110" zoomScaleNormal="110" zoomScaleSheetLayoutView="110" workbookViewId="0">
      <selection activeCell="C7" sqref="C7:K7"/>
    </sheetView>
  </sheetViews>
  <sheetFormatPr defaultRowHeight="12.75" x14ac:dyDescent="0.2"/>
  <cols>
    <col min="1" max="1" width="6.140625" customWidth="1"/>
    <col min="2" max="2" width="10.7109375" style="167" customWidth="1"/>
    <col min="3" max="3" width="10.42578125" style="167" customWidth="1"/>
    <col min="4" max="4" width="4.7109375" style="167" customWidth="1"/>
    <col min="5" max="5" width="8" customWidth="1"/>
    <col min="6" max="6" width="7.42578125" customWidth="1"/>
    <col min="7" max="7" width="22.85546875" customWidth="1"/>
    <col min="8" max="8" width="9.7109375" customWidth="1"/>
    <col min="9" max="9" width="7.42578125" customWidth="1"/>
    <col min="10" max="10" width="8.42578125" customWidth="1"/>
    <col min="11" max="11" width="11" customWidth="1"/>
    <col min="12" max="12" width="8.28515625" customWidth="1"/>
    <col min="13" max="13" width="8.7109375" customWidth="1"/>
    <col min="14" max="14" width="21.7109375" customWidth="1"/>
  </cols>
  <sheetData>
    <row r="1" spans="1:14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</row>
    <row r="2" spans="1:14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</row>
    <row r="3" spans="1:14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</row>
    <row r="4" spans="1:14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</row>
    <row r="5" spans="1:14" ht="13.5" x14ac:dyDescent="0.25">
      <c r="A5" s="970" t="s">
        <v>112</v>
      </c>
      <c r="B5" s="970"/>
      <c r="C5" s="970"/>
      <c r="D5" s="209"/>
      <c r="E5" s="1"/>
      <c r="F5" s="1"/>
      <c r="G5" s="1"/>
      <c r="H5" s="1"/>
      <c r="I5" s="1"/>
      <c r="J5" s="1"/>
      <c r="K5" s="1"/>
      <c r="L5" s="971" t="s">
        <v>42</v>
      </c>
      <c r="M5" s="971"/>
      <c r="N5" s="971"/>
    </row>
    <row r="6" spans="1:14" ht="13.5" customHeight="1" x14ac:dyDescent="0.25">
      <c r="A6" s="988" t="s">
        <v>457</v>
      </c>
      <c r="B6" s="988"/>
      <c r="C6" s="989"/>
      <c r="D6" s="983" t="s">
        <v>3</v>
      </c>
      <c r="E6" s="983"/>
      <c r="F6" s="983"/>
      <c r="G6" s="983"/>
      <c r="H6" s="983"/>
      <c r="I6" s="983"/>
      <c r="J6" s="983"/>
      <c r="K6" s="983"/>
      <c r="L6" s="971" t="s">
        <v>4</v>
      </c>
      <c r="M6" s="971"/>
      <c r="N6" s="971"/>
    </row>
    <row r="7" spans="1:14" ht="12.75" customHeight="1" x14ac:dyDescent="0.25">
      <c r="A7" s="992" t="s">
        <v>5</v>
      </c>
      <c r="B7" s="992"/>
      <c r="C7" s="975" t="s">
        <v>6</v>
      </c>
      <c r="D7" s="976"/>
      <c r="E7" s="976"/>
      <c r="F7" s="976"/>
      <c r="G7" s="976"/>
      <c r="H7" s="976"/>
      <c r="I7" s="976"/>
      <c r="J7" s="976"/>
      <c r="K7" s="977"/>
      <c r="L7" s="978" t="s">
        <v>7</v>
      </c>
      <c r="M7" s="978"/>
      <c r="N7" s="978"/>
    </row>
    <row r="8" spans="1:14" ht="13.5" customHeight="1" x14ac:dyDescent="0.25">
      <c r="A8" s="1000">
        <v>192</v>
      </c>
      <c r="B8" s="1001"/>
      <c r="C8" s="553"/>
      <c r="D8" s="980" t="s">
        <v>117</v>
      </c>
      <c r="E8" s="981"/>
      <c r="F8" s="981"/>
      <c r="G8" s="981"/>
      <c r="H8" s="981"/>
      <c r="I8" s="981"/>
      <c r="J8" s="981"/>
      <c r="K8" s="981"/>
      <c r="L8" s="3" t="s">
        <v>8</v>
      </c>
      <c r="M8" s="3" t="s">
        <v>9</v>
      </c>
      <c r="N8" s="3" t="s">
        <v>10</v>
      </c>
    </row>
    <row r="9" spans="1:14" ht="13.5" customHeight="1" thickBot="1" x14ac:dyDescent="0.3">
      <c r="A9" s="1002"/>
      <c r="B9" s="1003"/>
      <c r="C9" s="553"/>
      <c r="D9" s="980" t="s">
        <v>43</v>
      </c>
      <c r="E9" s="980"/>
      <c r="F9" s="980"/>
      <c r="G9" s="980"/>
      <c r="H9" s="980"/>
      <c r="I9" s="980"/>
      <c r="J9" s="980"/>
      <c r="K9" s="980"/>
      <c r="L9" s="320">
        <v>75</v>
      </c>
      <c r="M9" s="320">
        <v>130</v>
      </c>
      <c r="N9" s="320">
        <v>158</v>
      </c>
    </row>
    <row r="10" spans="1:14" ht="20.25" customHeight="1" thickBot="1" x14ac:dyDescent="0.3">
      <c r="A10" s="5"/>
      <c r="B10" s="384"/>
      <c r="C10" s="553"/>
      <c r="D10" s="980" t="s">
        <v>276</v>
      </c>
      <c r="E10" s="981"/>
      <c r="F10" s="981"/>
      <c r="G10" s="981"/>
      <c r="H10" s="981"/>
      <c r="I10" s="981"/>
      <c r="J10" s="981"/>
      <c r="K10" s="982"/>
      <c r="L10" s="6"/>
      <c r="M10" s="6"/>
      <c r="N10" s="6"/>
    </row>
    <row r="11" spans="1:14" ht="13.5" customHeight="1" x14ac:dyDescent="0.2">
      <c r="A11" s="5"/>
      <c r="B11" s="385" t="s">
        <v>13</v>
      </c>
      <c r="C11" s="374"/>
      <c r="D11" s="375"/>
      <c r="E11" s="10">
        <v>44</v>
      </c>
      <c r="F11" s="11"/>
      <c r="G11" s="11"/>
      <c r="H11" s="11"/>
      <c r="I11" s="11"/>
      <c r="J11" s="11"/>
      <c r="K11" s="11"/>
      <c r="L11" s="6"/>
      <c r="M11" s="6"/>
      <c r="N11" s="6"/>
    </row>
    <row r="12" spans="1:14" ht="13.5" customHeight="1" thickBot="1" x14ac:dyDescent="0.25">
      <c r="A12" s="5"/>
      <c r="B12" s="386" t="s">
        <v>14</v>
      </c>
      <c r="C12" s="376"/>
      <c r="D12" s="377"/>
      <c r="E12" s="16">
        <v>270</v>
      </c>
      <c r="F12" s="11"/>
      <c r="G12" s="11"/>
      <c r="H12" s="11"/>
      <c r="I12" s="11"/>
      <c r="J12" s="11"/>
      <c r="K12" s="11"/>
      <c r="L12" s="6"/>
      <c r="M12" s="6"/>
      <c r="N12" s="6"/>
    </row>
    <row r="13" spans="1:14" ht="10.5" customHeight="1" x14ac:dyDescent="0.2">
      <c r="A13" s="38"/>
      <c r="B13" s="391"/>
      <c r="C13" s="215"/>
      <c r="D13" s="215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s="36" customFormat="1" ht="10.5" customHeight="1" x14ac:dyDescent="0.2">
      <c r="A14" s="972" t="s">
        <v>15</v>
      </c>
      <c r="B14" s="972" t="s">
        <v>16</v>
      </c>
      <c r="C14" s="972"/>
      <c r="D14" s="972"/>
      <c r="E14" s="972" t="s">
        <v>17</v>
      </c>
      <c r="F14" s="972" t="s">
        <v>45</v>
      </c>
      <c r="G14" s="972" t="s">
        <v>19</v>
      </c>
      <c r="H14" s="973" t="s">
        <v>20</v>
      </c>
      <c r="I14" s="972" t="s">
        <v>21</v>
      </c>
      <c r="J14" s="972" t="s">
        <v>46</v>
      </c>
      <c r="K14" s="972" t="s">
        <v>23</v>
      </c>
      <c r="L14" s="972" t="s">
        <v>24</v>
      </c>
      <c r="M14" s="972" t="s">
        <v>25</v>
      </c>
      <c r="N14" s="972"/>
    </row>
    <row r="15" spans="1:14" s="36" customFormat="1" ht="10.5" customHeight="1" x14ac:dyDescent="0.2">
      <c r="A15" s="973"/>
      <c r="B15" s="973"/>
      <c r="C15" s="973"/>
      <c r="D15" s="973"/>
      <c r="E15" s="973"/>
      <c r="F15" s="973"/>
      <c r="G15" s="973"/>
      <c r="H15" s="999"/>
      <c r="I15" s="972"/>
      <c r="J15" s="972"/>
      <c r="K15" s="972"/>
      <c r="L15" s="972"/>
      <c r="M15" s="972"/>
      <c r="N15" s="972"/>
    </row>
    <row r="16" spans="1:14" s="443" customFormat="1" ht="28.5" customHeight="1" x14ac:dyDescent="0.2">
      <c r="A16" s="23">
        <v>1</v>
      </c>
      <c r="B16" s="488" t="s">
        <v>280</v>
      </c>
      <c r="C16" s="543"/>
      <c r="D16" s="544"/>
      <c r="E16" s="480">
        <v>1990</v>
      </c>
      <c r="F16" s="469" t="s">
        <v>223</v>
      </c>
      <c r="G16" s="469" t="s">
        <v>35</v>
      </c>
      <c r="H16" s="425"/>
      <c r="I16" s="561">
        <v>89.45</v>
      </c>
      <c r="J16" s="473">
        <v>176</v>
      </c>
      <c r="K16" s="562">
        <v>20</v>
      </c>
      <c r="L16" s="562" t="s">
        <v>10</v>
      </c>
      <c r="M16" s="1017" t="s">
        <v>210</v>
      </c>
      <c r="N16" s="1018"/>
    </row>
    <row r="17" spans="1:48" s="24" customFormat="1" ht="23.25" customHeight="1" x14ac:dyDescent="0.25">
      <c r="A17" s="39">
        <f>A16+1</f>
        <v>2</v>
      </c>
      <c r="B17" s="390" t="s">
        <v>279</v>
      </c>
      <c r="C17" s="308"/>
      <c r="D17" s="309"/>
      <c r="E17" s="227">
        <v>1999</v>
      </c>
      <c r="F17" s="231" t="s">
        <v>8</v>
      </c>
      <c r="G17" s="228" t="s">
        <v>120</v>
      </c>
      <c r="H17" s="216" t="s">
        <v>121</v>
      </c>
      <c r="I17" s="230">
        <v>69.099999999999994</v>
      </c>
      <c r="J17" s="231">
        <v>175</v>
      </c>
      <c r="K17" s="231">
        <v>18</v>
      </c>
      <c r="L17" s="562" t="s">
        <v>10</v>
      </c>
      <c r="M17" s="248" t="s">
        <v>29</v>
      </c>
      <c r="N17" s="316"/>
    </row>
    <row r="18" spans="1:48" s="24" customFormat="1" ht="22.5" customHeight="1" x14ac:dyDescent="0.25">
      <c r="A18" s="39">
        <f>A17+1</f>
        <v>3</v>
      </c>
      <c r="B18" s="554" t="s">
        <v>277</v>
      </c>
      <c r="C18" s="491"/>
      <c r="D18" s="555"/>
      <c r="E18" s="556">
        <v>1990</v>
      </c>
      <c r="F18" s="466" t="s">
        <v>9</v>
      </c>
      <c r="G18" s="466" t="s">
        <v>32</v>
      </c>
      <c r="H18" s="220" t="s">
        <v>30</v>
      </c>
      <c r="I18" s="465">
        <v>80.099999999999994</v>
      </c>
      <c r="J18" s="466">
        <v>170</v>
      </c>
      <c r="K18" s="466">
        <v>16</v>
      </c>
      <c r="L18" s="562" t="s">
        <v>10</v>
      </c>
      <c r="M18" s="1008" t="s">
        <v>278</v>
      </c>
      <c r="N18" s="1021"/>
      <c r="O18" s="45"/>
      <c r="P18" s="46"/>
      <c r="Q18" s="46"/>
    </row>
    <row r="19" spans="1:48" s="24" customFormat="1" ht="20.25" customHeight="1" x14ac:dyDescent="0.25">
      <c r="A19" s="39">
        <f t="shared" ref="A19:A31" si="0">A18+1</f>
        <v>4</v>
      </c>
      <c r="B19" s="489" t="s">
        <v>284</v>
      </c>
      <c r="C19" s="478"/>
      <c r="D19" s="479"/>
      <c r="E19" s="480">
        <v>1986</v>
      </c>
      <c r="F19" s="505" t="s">
        <v>9</v>
      </c>
      <c r="G19" s="473" t="s">
        <v>35</v>
      </c>
      <c r="H19" s="53"/>
      <c r="I19" s="468">
        <v>110.4</v>
      </c>
      <c r="J19" s="469">
        <v>154</v>
      </c>
      <c r="K19" s="469">
        <v>15</v>
      </c>
      <c r="L19" s="466" t="s">
        <v>9</v>
      </c>
      <c r="M19" s="464" t="s">
        <v>285</v>
      </c>
      <c r="N19" s="564"/>
    </row>
    <row r="20" spans="1:48" s="50" customFormat="1" ht="13.5" customHeight="1" x14ac:dyDescent="0.2">
      <c r="A20" s="39">
        <f t="shared" si="0"/>
        <v>5</v>
      </c>
      <c r="B20" s="503" t="s">
        <v>281</v>
      </c>
      <c r="C20" s="492"/>
      <c r="D20" s="542"/>
      <c r="E20" s="507">
        <v>1985</v>
      </c>
      <c r="F20" s="466" t="s">
        <v>9</v>
      </c>
      <c r="G20" s="471" t="s">
        <v>282</v>
      </c>
      <c r="H20" s="220"/>
      <c r="I20" s="465">
        <v>100.05</v>
      </c>
      <c r="J20" s="466">
        <v>145</v>
      </c>
      <c r="K20" s="466">
        <v>14</v>
      </c>
      <c r="L20" s="362" t="s">
        <v>8</v>
      </c>
      <c r="M20" s="1019" t="s">
        <v>283</v>
      </c>
      <c r="N20" s="1020"/>
    </row>
    <row r="21" spans="1:48" s="50" customFormat="1" ht="13.5" customHeight="1" x14ac:dyDescent="0.25">
      <c r="A21" s="39">
        <f t="shared" si="0"/>
        <v>6</v>
      </c>
      <c r="B21" s="387" t="s">
        <v>291</v>
      </c>
      <c r="C21" s="557"/>
      <c r="D21" s="558"/>
      <c r="E21" s="362">
        <v>1992</v>
      </c>
      <c r="F21" s="362" t="s">
        <v>8</v>
      </c>
      <c r="G21" s="466" t="s">
        <v>292</v>
      </c>
      <c r="H21" s="220"/>
      <c r="I21" s="465">
        <v>79.95</v>
      </c>
      <c r="J21" s="563">
        <v>133</v>
      </c>
      <c r="K21" s="466">
        <v>13</v>
      </c>
      <c r="L21" s="362" t="s">
        <v>443</v>
      </c>
      <c r="M21" s="390" t="s">
        <v>293</v>
      </c>
      <c r="N21" s="309"/>
    </row>
    <row r="22" spans="1:48" s="50" customFormat="1" ht="13.5" customHeight="1" x14ac:dyDescent="0.25">
      <c r="A22" s="39">
        <f t="shared" si="0"/>
        <v>7</v>
      </c>
      <c r="B22" s="390" t="s">
        <v>286</v>
      </c>
      <c r="C22" s="308"/>
      <c r="D22" s="309"/>
      <c r="E22" s="362">
        <v>1995</v>
      </c>
      <c r="F22" s="362" t="s">
        <v>8</v>
      </c>
      <c r="G22" s="466" t="s">
        <v>35</v>
      </c>
      <c r="H22" s="51" t="s">
        <v>186</v>
      </c>
      <c r="I22" s="465">
        <v>86.65</v>
      </c>
      <c r="J22" s="563">
        <v>132</v>
      </c>
      <c r="K22" s="466">
        <v>12</v>
      </c>
      <c r="L22" s="362" t="s">
        <v>443</v>
      </c>
      <c r="M22" s="390" t="s">
        <v>287</v>
      </c>
      <c r="N22" s="309"/>
      <c r="O22" s="732"/>
      <c r="P22" s="732"/>
      <c r="Q22" s="732"/>
      <c r="R22" s="732"/>
      <c r="S22" s="732"/>
      <c r="T22" s="732"/>
      <c r="U22" s="732"/>
      <c r="V22" s="732"/>
      <c r="W22" s="732"/>
      <c r="X22" s="732"/>
      <c r="Y22" s="732"/>
      <c r="Z22" s="732"/>
      <c r="AA22" s="732"/>
      <c r="AB22" s="732"/>
      <c r="AC22" s="732"/>
      <c r="AD22" s="732"/>
      <c r="AE22" s="732"/>
      <c r="AF22" s="732"/>
      <c r="AG22" s="732"/>
      <c r="AH22" s="732"/>
      <c r="AI22" s="732"/>
      <c r="AJ22" s="732"/>
      <c r="AK22" s="732"/>
      <c r="AL22" s="732"/>
      <c r="AM22" s="732"/>
      <c r="AN22" s="732"/>
      <c r="AO22" s="732"/>
      <c r="AP22" s="732"/>
      <c r="AQ22" s="732"/>
      <c r="AR22" s="732"/>
      <c r="AS22" s="732"/>
      <c r="AT22" s="732"/>
      <c r="AU22" s="732"/>
      <c r="AV22" s="732"/>
    </row>
    <row r="23" spans="1:48" s="52" customFormat="1" ht="13.5" customHeight="1" x14ac:dyDescent="0.25">
      <c r="A23" s="39">
        <f t="shared" si="0"/>
        <v>8</v>
      </c>
      <c r="B23" s="390" t="s">
        <v>289</v>
      </c>
      <c r="C23" s="308"/>
      <c r="D23" s="309"/>
      <c r="E23" s="228">
        <v>1984</v>
      </c>
      <c r="F23" s="231" t="s">
        <v>9</v>
      </c>
      <c r="G23" s="231" t="s">
        <v>86</v>
      </c>
      <c r="H23" s="231" t="s">
        <v>31</v>
      </c>
      <c r="I23" s="230">
        <v>68.3</v>
      </c>
      <c r="J23" s="231">
        <v>120</v>
      </c>
      <c r="K23" s="231">
        <v>11</v>
      </c>
      <c r="L23" s="362" t="s">
        <v>8</v>
      </c>
      <c r="M23" s="248" t="s">
        <v>290</v>
      </c>
      <c r="N23" s="226"/>
      <c r="O23" s="731"/>
      <c r="P23" s="731"/>
      <c r="Q23" s="731"/>
      <c r="R23" s="731"/>
      <c r="S23" s="731"/>
      <c r="T23" s="731"/>
      <c r="U23" s="731"/>
      <c r="V23" s="731"/>
      <c r="W23" s="731"/>
      <c r="X23" s="731"/>
      <c r="Y23" s="731"/>
      <c r="Z23" s="731"/>
      <c r="AA23" s="731"/>
      <c r="AB23" s="731"/>
      <c r="AC23" s="731"/>
      <c r="AD23" s="731"/>
      <c r="AE23" s="731"/>
      <c r="AF23" s="731"/>
      <c r="AG23" s="731"/>
      <c r="AH23" s="731"/>
      <c r="AI23" s="731"/>
      <c r="AJ23" s="731"/>
      <c r="AK23" s="731"/>
      <c r="AL23" s="731"/>
      <c r="AM23" s="731"/>
      <c r="AN23" s="731"/>
      <c r="AO23" s="731"/>
      <c r="AP23" s="731"/>
      <c r="AQ23" s="731"/>
      <c r="AR23" s="731"/>
      <c r="AS23" s="731"/>
      <c r="AT23" s="731"/>
      <c r="AU23" s="731"/>
      <c r="AV23" s="731"/>
    </row>
    <row r="24" spans="1:48" s="52" customFormat="1" ht="13.5" customHeight="1" x14ac:dyDescent="0.25">
      <c r="A24" s="39">
        <f t="shared" si="0"/>
        <v>9</v>
      </c>
      <c r="B24" s="401" t="s">
        <v>294</v>
      </c>
      <c r="C24" s="559"/>
      <c r="D24" s="560"/>
      <c r="E24" s="402">
        <v>1989</v>
      </c>
      <c r="F24" s="402" t="s">
        <v>9</v>
      </c>
      <c r="G24" s="402" t="s">
        <v>295</v>
      </c>
      <c r="H24" s="402"/>
      <c r="I24" s="403">
        <v>68.05</v>
      </c>
      <c r="J24" s="402">
        <v>110</v>
      </c>
      <c r="K24" s="402">
        <v>10</v>
      </c>
      <c r="L24" s="362" t="s">
        <v>8</v>
      </c>
      <c r="M24" s="404" t="s">
        <v>296</v>
      </c>
      <c r="N24" s="405"/>
      <c r="O24" s="731"/>
      <c r="P24" s="731"/>
      <c r="Q24" s="731"/>
      <c r="R24" s="731"/>
      <c r="S24" s="731"/>
      <c r="T24" s="731"/>
      <c r="U24" s="731"/>
      <c r="V24" s="731"/>
      <c r="W24" s="731"/>
      <c r="X24" s="731"/>
      <c r="Y24" s="731"/>
      <c r="Z24" s="731"/>
      <c r="AA24" s="731"/>
      <c r="AB24" s="731"/>
      <c r="AC24" s="731"/>
      <c r="AD24" s="731"/>
      <c r="AE24" s="731"/>
      <c r="AF24" s="731"/>
      <c r="AG24" s="731"/>
      <c r="AH24" s="731"/>
      <c r="AI24" s="731"/>
      <c r="AJ24" s="731"/>
      <c r="AK24" s="731"/>
      <c r="AL24" s="731"/>
      <c r="AM24" s="731"/>
      <c r="AN24" s="731"/>
      <c r="AO24" s="731"/>
      <c r="AP24" s="731"/>
      <c r="AQ24" s="731"/>
      <c r="AR24" s="731"/>
      <c r="AS24" s="731"/>
      <c r="AT24" s="731"/>
      <c r="AU24" s="731"/>
      <c r="AV24" s="731"/>
    </row>
    <row r="25" spans="1:48" s="52" customFormat="1" ht="23.25" customHeight="1" x14ac:dyDescent="0.25">
      <c r="A25" s="39">
        <f t="shared" si="0"/>
        <v>10</v>
      </c>
      <c r="B25" s="392" t="s">
        <v>297</v>
      </c>
      <c r="C25" s="302"/>
      <c r="D25" s="303"/>
      <c r="E25" s="244">
        <v>1966</v>
      </c>
      <c r="F25" s="245" t="s">
        <v>8</v>
      </c>
      <c r="G25" s="245" t="s">
        <v>215</v>
      </c>
      <c r="H25" s="88" t="s">
        <v>298</v>
      </c>
      <c r="I25" s="91">
        <v>77.75</v>
      </c>
      <c r="J25" s="245">
        <v>103</v>
      </c>
      <c r="K25" s="245">
        <v>9</v>
      </c>
      <c r="L25" s="362" t="s">
        <v>8</v>
      </c>
      <c r="M25" s="249" t="s">
        <v>217</v>
      </c>
      <c r="N25" s="318"/>
      <c r="O25" s="731"/>
      <c r="P25" s="731"/>
      <c r="Q25" s="731"/>
      <c r="R25" s="731"/>
      <c r="S25" s="731"/>
      <c r="T25" s="731"/>
      <c r="U25" s="731"/>
      <c r="V25" s="731"/>
      <c r="W25" s="731"/>
      <c r="X25" s="731"/>
      <c r="Y25" s="731"/>
      <c r="Z25" s="731"/>
      <c r="AA25" s="731"/>
      <c r="AB25" s="731"/>
      <c r="AC25" s="731"/>
      <c r="AD25" s="731"/>
      <c r="AE25" s="731"/>
      <c r="AF25" s="731"/>
      <c r="AG25" s="731"/>
      <c r="AH25" s="731"/>
      <c r="AI25" s="731"/>
      <c r="AJ25" s="731"/>
      <c r="AK25" s="731"/>
      <c r="AL25" s="731"/>
      <c r="AM25" s="731"/>
      <c r="AN25" s="731"/>
      <c r="AO25" s="731"/>
      <c r="AP25" s="731"/>
      <c r="AQ25" s="731"/>
      <c r="AR25" s="731"/>
      <c r="AS25" s="731"/>
      <c r="AT25" s="731"/>
      <c r="AU25" s="731"/>
      <c r="AV25" s="731"/>
    </row>
    <row r="26" spans="1:48" s="52" customFormat="1" ht="13.5" customHeight="1" x14ac:dyDescent="0.25">
      <c r="A26" s="39">
        <f t="shared" si="0"/>
        <v>11</v>
      </c>
      <c r="B26" s="392" t="s">
        <v>288</v>
      </c>
      <c r="C26" s="302"/>
      <c r="D26" s="303"/>
      <c r="E26" s="263">
        <v>1973</v>
      </c>
      <c r="F26" s="245" t="s">
        <v>9</v>
      </c>
      <c r="G26" s="245" t="s">
        <v>237</v>
      </c>
      <c r="H26" s="245"/>
      <c r="I26" s="91">
        <v>82.15</v>
      </c>
      <c r="J26" s="245">
        <v>94</v>
      </c>
      <c r="K26" s="245">
        <v>8</v>
      </c>
      <c r="L26" s="362" t="s">
        <v>8</v>
      </c>
      <c r="M26" s="318" t="s">
        <v>238</v>
      </c>
      <c r="N26" s="318"/>
      <c r="O26" s="731"/>
      <c r="P26" s="731"/>
      <c r="Q26" s="731"/>
      <c r="R26" s="731"/>
      <c r="S26" s="731"/>
      <c r="T26" s="731"/>
      <c r="U26" s="731"/>
      <c r="V26" s="731"/>
      <c r="W26" s="731"/>
      <c r="X26" s="731"/>
      <c r="Y26" s="731"/>
      <c r="Z26" s="731"/>
      <c r="AA26" s="731"/>
      <c r="AB26" s="731"/>
      <c r="AC26" s="731"/>
      <c r="AD26" s="731"/>
      <c r="AE26" s="731"/>
      <c r="AF26" s="731"/>
      <c r="AG26" s="731"/>
      <c r="AH26" s="731"/>
      <c r="AI26" s="731"/>
      <c r="AJ26" s="731"/>
      <c r="AK26" s="731"/>
      <c r="AL26" s="731"/>
      <c r="AM26" s="731"/>
      <c r="AN26" s="731"/>
      <c r="AO26" s="731"/>
      <c r="AP26" s="731"/>
      <c r="AQ26" s="731"/>
      <c r="AR26" s="731"/>
      <c r="AS26" s="731"/>
      <c r="AT26" s="731"/>
      <c r="AU26" s="731"/>
      <c r="AV26" s="731"/>
    </row>
    <row r="27" spans="1:48" s="52" customFormat="1" ht="13.5" customHeight="1" x14ac:dyDescent="0.25">
      <c r="A27" s="39">
        <f t="shared" si="0"/>
        <v>12</v>
      </c>
      <c r="B27" s="392" t="s">
        <v>299</v>
      </c>
      <c r="C27" s="302"/>
      <c r="D27" s="303"/>
      <c r="E27" s="244">
        <v>1993</v>
      </c>
      <c r="F27" s="245">
        <v>1</v>
      </c>
      <c r="G27" s="245" t="s">
        <v>300</v>
      </c>
      <c r="H27" s="231"/>
      <c r="I27" s="91">
        <v>76.900000000000006</v>
      </c>
      <c r="J27" s="245">
        <v>76</v>
      </c>
      <c r="K27" s="245">
        <v>7</v>
      </c>
      <c r="L27" s="362" t="s">
        <v>8</v>
      </c>
      <c r="M27" s="318" t="s">
        <v>301</v>
      </c>
      <c r="N27" s="318"/>
      <c r="O27" s="731"/>
      <c r="P27" s="731"/>
      <c r="Q27" s="731"/>
      <c r="R27" s="731"/>
      <c r="S27" s="731"/>
      <c r="T27" s="731"/>
      <c r="U27" s="731"/>
      <c r="V27" s="731"/>
      <c r="W27" s="731"/>
      <c r="X27" s="731"/>
      <c r="Y27" s="731"/>
      <c r="Z27" s="731"/>
      <c r="AA27" s="731"/>
      <c r="AB27" s="731"/>
      <c r="AC27" s="731"/>
      <c r="AD27" s="731"/>
      <c r="AE27" s="731"/>
      <c r="AF27" s="731"/>
      <c r="AG27" s="731"/>
      <c r="AH27" s="731"/>
      <c r="AI27" s="731"/>
      <c r="AJ27" s="731"/>
      <c r="AK27" s="731"/>
      <c r="AL27" s="731"/>
      <c r="AM27" s="731"/>
      <c r="AN27" s="731"/>
      <c r="AO27" s="731"/>
      <c r="AP27" s="731"/>
      <c r="AQ27" s="731"/>
      <c r="AR27" s="731"/>
      <c r="AS27" s="731"/>
      <c r="AT27" s="731"/>
      <c r="AU27" s="731"/>
      <c r="AV27" s="731"/>
    </row>
    <row r="28" spans="1:48" s="52" customFormat="1" ht="13.5" customHeight="1" x14ac:dyDescent="0.25">
      <c r="A28" s="39">
        <f t="shared" si="0"/>
        <v>13</v>
      </c>
      <c r="B28" s="392" t="s">
        <v>420</v>
      </c>
      <c r="C28" s="302"/>
      <c r="D28" s="303"/>
      <c r="E28" s="511">
        <v>1966</v>
      </c>
      <c r="F28" s="511"/>
      <c r="G28" s="245" t="s">
        <v>215</v>
      </c>
      <c r="H28" s="245"/>
      <c r="I28" s="91">
        <v>76.7</v>
      </c>
      <c r="J28" s="511">
        <v>66</v>
      </c>
      <c r="K28" s="245">
        <v>6</v>
      </c>
      <c r="L28" s="264"/>
      <c r="M28" s="241" t="s">
        <v>421</v>
      </c>
      <c r="N28" s="537"/>
      <c r="O28" s="731"/>
      <c r="P28" s="731"/>
      <c r="Q28" s="731"/>
      <c r="R28" s="731"/>
      <c r="S28" s="731"/>
      <c r="T28" s="731"/>
      <c r="U28" s="731"/>
      <c r="V28" s="731"/>
      <c r="W28" s="731"/>
      <c r="X28" s="731"/>
      <c r="Y28" s="731"/>
      <c r="Z28" s="731"/>
      <c r="AA28" s="731"/>
      <c r="AB28" s="731"/>
      <c r="AC28" s="731"/>
      <c r="AD28" s="731"/>
      <c r="AE28" s="731"/>
      <c r="AF28" s="731"/>
      <c r="AG28" s="731"/>
      <c r="AH28" s="731"/>
      <c r="AI28" s="731"/>
      <c r="AJ28" s="731"/>
      <c r="AK28" s="731"/>
      <c r="AL28" s="731"/>
      <c r="AM28" s="731"/>
      <c r="AN28" s="731"/>
      <c r="AO28" s="731"/>
      <c r="AP28" s="731"/>
      <c r="AQ28" s="731"/>
      <c r="AR28" s="731"/>
      <c r="AS28" s="731"/>
      <c r="AT28" s="731"/>
      <c r="AU28" s="731"/>
      <c r="AV28" s="731"/>
    </row>
    <row r="29" spans="1:48" s="52" customFormat="1" ht="13.5" customHeight="1" x14ac:dyDescent="0.25">
      <c r="A29" s="39">
        <f t="shared" si="0"/>
        <v>14</v>
      </c>
      <c r="B29" s="554" t="s">
        <v>321</v>
      </c>
      <c r="C29" s="491"/>
      <c r="D29" s="555"/>
      <c r="E29" s="511">
        <v>1996</v>
      </c>
      <c r="F29" s="511" t="s">
        <v>8</v>
      </c>
      <c r="G29" s="244" t="s">
        <v>172</v>
      </c>
      <c r="H29" s="301"/>
      <c r="I29" s="472">
        <v>79</v>
      </c>
      <c r="J29" s="511">
        <v>64</v>
      </c>
      <c r="K29" s="473">
        <v>5</v>
      </c>
      <c r="L29" s="473"/>
      <c r="M29" s="241" t="s">
        <v>324</v>
      </c>
      <c r="N29" s="537"/>
      <c r="O29" s="731"/>
      <c r="P29" s="731"/>
      <c r="Q29" s="731"/>
      <c r="R29" s="731"/>
      <c r="S29" s="731"/>
      <c r="T29" s="731"/>
      <c r="U29" s="731"/>
      <c r="V29" s="731"/>
      <c r="W29" s="731"/>
      <c r="X29" s="731"/>
      <c r="Y29" s="731"/>
      <c r="Z29" s="731"/>
      <c r="AA29" s="731"/>
      <c r="AB29" s="731"/>
      <c r="AC29" s="731"/>
      <c r="AD29" s="731"/>
      <c r="AE29" s="731"/>
      <c r="AF29" s="731"/>
      <c r="AG29" s="731"/>
      <c r="AH29" s="731"/>
      <c r="AI29" s="731"/>
      <c r="AJ29" s="731"/>
      <c r="AK29" s="731"/>
      <c r="AL29" s="731"/>
      <c r="AM29" s="731"/>
      <c r="AN29" s="731"/>
      <c r="AO29" s="731"/>
      <c r="AP29" s="731"/>
      <c r="AQ29" s="731"/>
      <c r="AR29" s="731"/>
      <c r="AS29" s="731"/>
      <c r="AT29" s="731"/>
      <c r="AU29" s="731"/>
      <c r="AV29" s="731"/>
    </row>
    <row r="30" spans="1:48" s="52" customFormat="1" ht="13.5" customHeight="1" x14ac:dyDescent="0.25">
      <c r="A30" s="39">
        <f t="shared" si="0"/>
        <v>15</v>
      </c>
      <c r="B30" s="554" t="s">
        <v>312</v>
      </c>
      <c r="C30" s="491"/>
      <c r="D30" s="555"/>
      <c r="E30" s="556">
        <v>1997</v>
      </c>
      <c r="F30" s="245">
        <v>1</v>
      </c>
      <c r="G30" s="245" t="s">
        <v>122</v>
      </c>
      <c r="H30" s="301" t="s">
        <v>150</v>
      </c>
      <c r="I30" s="472">
        <v>76.8</v>
      </c>
      <c r="J30" s="511">
        <v>55</v>
      </c>
      <c r="K30" s="245">
        <v>4</v>
      </c>
      <c r="L30" s="473"/>
      <c r="M30" s="241" t="s">
        <v>39</v>
      </c>
      <c r="N30" s="537"/>
      <c r="O30" s="731"/>
      <c r="P30" s="731"/>
      <c r="Q30" s="731"/>
      <c r="R30" s="731"/>
      <c r="S30" s="731"/>
      <c r="T30" s="731"/>
      <c r="U30" s="731"/>
      <c r="V30" s="731"/>
      <c r="W30" s="731"/>
      <c r="X30" s="731"/>
      <c r="Y30" s="731"/>
      <c r="Z30" s="731"/>
      <c r="AA30" s="731"/>
      <c r="AB30" s="731"/>
      <c r="AC30" s="731"/>
      <c r="AD30" s="731"/>
      <c r="AE30" s="731"/>
      <c r="AF30" s="731"/>
      <c r="AG30" s="731"/>
      <c r="AH30" s="731"/>
      <c r="AI30" s="731"/>
      <c r="AJ30" s="731"/>
      <c r="AK30" s="731"/>
      <c r="AL30" s="731"/>
      <c r="AM30" s="731"/>
      <c r="AN30" s="731"/>
      <c r="AO30" s="731"/>
      <c r="AP30" s="731"/>
      <c r="AQ30" s="731"/>
      <c r="AR30" s="731"/>
      <c r="AS30" s="731"/>
      <c r="AT30" s="731"/>
      <c r="AU30" s="731"/>
      <c r="AV30" s="731"/>
    </row>
    <row r="31" spans="1:48" s="52" customFormat="1" ht="13.5" customHeight="1" x14ac:dyDescent="0.25">
      <c r="A31" s="39">
        <f t="shared" si="0"/>
        <v>16</v>
      </c>
      <c r="B31" s="554" t="s">
        <v>320</v>
      </c>
      <c r="C31" s="491"/>
      <c r="D31" s="555"/>
      <c r="E31" s="511">
        <v>1993</v>
      </c>
      <c r="F31" s="511">
        <v>1</v>
      </c>
      <c r="G31" s="244" t="s">
        <v>172</v>
      </c>
      <c r="H31" s="301"/>
      <c r="I31" s="472">
        <v>80.75</v>
      </c>
      <c r="J31" s="471">
        <v>53</v>
      </c>
      <c r="K31" s="473">
        <v>3</v>
      </c>
      <c r="L31" s="473"/>
      <c r="M31" s="494" t="s">
        <v>323</v>
      </c>
      <c r="N31" s="537"/>
      <c r="O31" s="731"/>
      <c r="P31" s="731"/>
      <c r="Q31" s="731"/>
      <c r="R31" s="731"/>
      <c r="S31" s="731"/>
      <c r="T31" s="731"/>
      <c r="U31" s="731"/>
      <c r="V31" s="731"/>
      <c r="W31" s="731"/>
      <c r="X31" s="731"/>
      <c r="Y31" s="731"/>
      <c r="Z31" s="731"/>
      <c r="AA31" s="731"/>
      <c r="AB31" s="731"/>
      <c r="AC31" s="731"/>
      <c r="AD31" s="731"/>
      <c r="AE31" s="731"/>
      <c r="AF31" s="731"/>
      <c r="AG31" s="731"/>
      <c r="AH31" s="731"/>
      <c r="AI31" s="731"/>
      <c r="AJ31" s="731"/>
      <c r="AK31" s="731"/>
      <c r="AL31" s="731"/>
      <c r="AM31" s="731"/>
      <c r="AN31" s="731"/>
      <c r="AO31" s="731"/>
      <c r="AP31" s="731"/>
      <c r="AQ31" s="731"/>
      <c r="AR31" s="731"/>
      <c r="AS31" s="731"/>
      <c r="AT31" s="731"/>
      <c r="AU31" s="731"/>
      <c r="AV31" s="731"/>
    </row>
    <row r="32" spans="1:48" ht="15" x14ac:dyDescent="0.25">
      <c r="A32" s="173"/>
      <c r="B32" s="327"/>
      <c r="C32" s="327"/>
      <c r="D32" s="327"/>
      <c r="E32" s="328"/>
      <c r="F32" s="326"/>
      <c r="G32" s="304"/>
      <c r="H32" s="329"/>
      <c r="I32" s="330"/>
      <c r="J32" s="331"/>
      <c r="K32" s="332"/>
      <c r="L32" s="170"/>
      <c r="M32" s="270"/>
      <c r="N32" s="333"/>
    </row>
    <row r="33" spans="1:14" ht="13.5" x14ac:dyDescent="0.25">
      <c r="A33" s="214" t="s">
        <v>480</v>
      </c>
      <c r="B33" s="210"/>
      <c r="C33" s="210"/>
      <c r="D33" s="210"/>
      <c r="E33" s="210"/>
      <c r="F33" s="210"/>
      <c r="G33" s="210"/>
      <c r="H33" s="214" t="s">
        <v>40</v>
      </c>
      <c r="J33" s="17"/>
      <c r="K33" s="205"/>
      <c r="L33" s="475" t="s">
        <v>479</v>
      </c>
      <c r="N33" s="205"/>
    </row>
    <row r="34" spans="1:14" ht="13.5" x14ac:dyDescent="0.25">
      <c r="A34" s="214"/>
      <c r="B34" s="383"/>
      <c r="C34" s="205"/>
      <c r="D34" s="17"/>
      <c r="E34" s="17"/>
      <c r="F34" s="17"/>
      <c r="G34" s="17"/>
      <c r="H34" s="214"/>
      <c r="J34" s="17"/>
      <c r="K34" s="205"/>
      <c r="L34" s="476"/>
      <c r="M34" s="17"/>
      <c r="N34" s="17"/>
    </row>
    <row r="35" spans="1:14" ht="13.5" x14ac:dyDescent="0.25">
      <c r="A35" s="214" t="s">
        <v>491</v>
      </c>
      <c r="B35" s="210"/>
      <c r="C35" s="210"/>
      <c r="D35" s="210"/>
      <c r="E35" s="210"/>
      <c r="F35" s="210"/>
      <c r="G35" s="210"/>
      <c r="H35" s="214" t="s">
        <v>41</v>
      </c>
      <c r="J35" s="210"/>
      <c r="L35" s="477" t="s">
        <v>481</v>
      </c>
      <c r="M35" s="205"/>
      <c r="N35" s="205"/>
    </row>
  </sheetData>
  <sheetProtection selectLockedCells="1" selectUnlockedCells="1"/>
  <mergeCells count="30">
    <mergeCell ref="M20:N20"/>
    <mergeCell ref="M18:N18"/>
    <mergeCell ref="J14:J15"/>
    <mergeCell ref="D9:K9"/>
    <mergeCell ref="D10:K10"/>
    <mergeCell ref="K14:K15"/>
    <mergeCell ref="G14:G15"/>
    <mergeCell ref="L14:L15"/>
    <mergeCell ref="M14:N15"/>
    <mergeCell ref="E14:E15"/>
    <mergeCell ref="F14:F15"/>
    <mergeCell ref="A8:B9"/>
    <mergeCell ref="D8:K8"/>
    <mergeCell ref="M16:N16"/>
    <mergeCell ref="H14:H15"/>
    <mergeCell ref="I14:I15"/>
    <mergeCell ref="A14:A15"/>
    <mergeCell ref="B14:D15"/>
    <mergeCell ref="A5:C5"/>
    <mergeCell ref="L5:N5"/>
    <mergeCell ref="A1:N1"/>
    <mergeCell ref="A2:N2"/>
    <mergeCell ref="A3:N3"/>
    <mergeCell ref="A4:N4"/>
    <mergeCell ref="A6:C6"/>
    <mergeCell ref="D6:K6"/>
    <mergeCell ref="L6:N6"/>
    <mergeCell ref="A7:B7"/>
    <mergeCell ref="C7:K7"/>
    <mergeCell ref="L7:N7"/>
  </mergeCells>
  <phoneticPr fontId="33" type="noConversion"/>
  <pageMargins left="0.15748031496062992" right="0.23622047244094491" top="0.27559055118110237" bottom="0.19685039370078741" header="0" footer="0"/>
  <pageSetup paperSize="9" firstPageNumber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topLeftCell="A11" zoomScaleSheetLayoutView="100" workbookViewId="0">
      <selection activeCell="G33" sqref="G33"/>
    </sheetView>
  </sheetViews>
  <sheetFormatPr defaultRowHeight="12.75" x14ac:dyDescent="0.2"/>
  <cols>
    <col min="1" max="1" width="7.42578125" customWidth="1"/>
    <col min="2" max="2" width="24.42578125" style="167" customWidth="1"/>
    <col min="4" max="4" width="6.5703125" customWidth="1"/>
    <col min="7" max="7" width="24.140625" customWidth="1"/>
    <col min="8" max="8" width="9.7109375" customWidth="1"/>
    <col min="11" max="11" width="7.7109375" customWidth="1"/>
    <col min="12" max="12" width="9.42578125" customWidth="1"/>
    <col min="13" max="13" width="13.140625" customWidth="1"/>
    <col min="14" max="14" width="19.5703125" customWidth="1"/>
  </cols>
  <sheetData>
    <row r="1" spans="1:14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3" spans="1:14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</row>
    <row r="4" spans="1:14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14" ht="28.15" customHeight="1" x14ac:dyDescent="0.2">
      <c r="A5" s="186"/>
      <c r="B5" s="757"/>
      <c r="C5" s="757"/>
      <c r="D5" s="757"/>
      <c r="E5" s="757"/>
      <c r="F5" s="757"/>
      <c r="G5" s="757"/>
      <c r="H5" s="757"/>
      <c r="I5" s="757"/>
      <c r="J5" s="757"/>
      <c r="K5" s="757"/>
      <c r="L5" s="757"/>
      <c r="M5" s="757"/>
      <c r="N5" s="757"/>
    </row>
    <row r="6" spans="1:14" ht="28.15" customHeight="1" x14ac:dyDescent="0.2">
      <c r="A6" s="186"/>
      <c r="B6" s="757"/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</row>
    <row r="7" spans="1:14" ht="13.5" x14ac:dyDescent="0.25">
      <c r="A7" s="970" t="s">
        <v>681</v>
      </c>
      <c r="B7" s="970"/>
      <c r="C7" s="760"/>
      <c r="D7" s="1"/>
      <c r="E7" s="1"/>
      <c r="F7" s="1"/>
      <c r="G7" s="1"/>
      <c r="H7" s="1"/>
      <c r="I7" s="1"/>
      <c r="J7" s="1"/>
      <c r="K7" s="1"/>
      <c r="L7" s="971" t="s">
        <v>42</v>
      </c>
      <c r="M7" s="971"/>
      <c r="N7" s="971"/>
    </row>
    <row r="8" spans="1:14" ht="15.75" x14ac:dyDescent="0.25">
      <c r="A8" s="984" t="s">
        <v>530</v>
      </c>
      <c r="B8" s="984"/>
      <c r="C8" s="459"/>
      <c r="D8" s="983" t="s">
        <v>3</v>
      </c>
      <c r="E8" s="983"/>
      <c r="F8" s="983"/>
      <c r="G8" s="983"/>
      <c r="H8" s="983"/>
      <c r="I8" s="983"/>
      <c r="J8" s="983"/>
      <c r="K8" s="983"/>
      <c r="L8" s="971" t="s">
        <v>4</v>
      </c>
      <c r="M8" s="971"/>
      <c r="N8" s="971"/>
    </row>
    <row r="9" spans="1:14" ht="16.149999999999999" customHeight="1" x14ac:dyDescent="0.25">
      <c r="A9" s="974" t="s">
        <v>5</v>
      </c>
      <c r="B9" s="974"/>
      <c r="C9" s="975" t="s">
        <v>6</v>
      </c>
      <c r="D9" s="976"/>
      <c r="E9" s="976"/>
      <c r="F9" s="976"/>
      <c r="G9" s="976"/>
      <c r="H9" s="976"/>
      <c r="I9" s="976"/>
      <c r="J9" s="976"/>
      <c r="K9" s="977"/>
      <c r="L9" s="978" t="s">
        <v>7</v>
      </c>
      <c r="M9" s="978"/>
      <c r="N9" s="978"/>
    </row>
    <row r="10" spans="1:14" ht="15.75" x14ac:dyDescent="0.25">
      <c r="A10" s="1004">
        <v>192</v>
      </c>
      <c r="B10" s="1005"/>
      <c r="C10" s="759"/>
      <c r="D10" s="980" t="s">
        <v>533</v>
      </c>
      <c r="E10" s="981"/>
      <c r="F10" s="981"/>
      <c r="G10" s="981"/>
      <c r="H10" s="981"/>
      <c r="I10" s="981"/>
      <c r="J10" s="981"/>
      <c r="K10" s="981"/>
      <c r="L10" s="755" t="s">
        <v>8</v>
      </c>
      <c r="M10" s="755" t="s">
        <v>9</v>
      </c>
      <c r="N10" s="755" t="s">
        <v>10</v>
      </c>
    </row>
    <row r="11" spans="1:14" ht="16.5" thickBot="1" x14ac:dyDescent="0.3">
      <c r="A11" s="1006"/>
      <c r="B11" s="1007"/>
      <c r="C11" s="759"/>
      <c r="D11" s="980" t="s">
        <v>43</v>
      </c>
      <c r="E11" s="980"/>
      <c r="F11" s="980"/>
      <c r="G11" s="980"/>
      <c r="H11" s="980"/>
      <c r="I11" s="980"/>
      <c r="J11" s="980"/>
      <c r="K11" s="980"/>
      <c r="L11" s="320">
        <v>75</v>
      </c>
      <c r="M11" s="320">
        <v>130</v>
      </c>
      <c r="N11" s="320">
        <v>158</v>
      </c>
    </row>
    <row r="12" spans="1:14" ht="16.5" thickBot="1" x14ac:dyDescent="0.3">
      <c r="A12" s="5"/>
      <c r="B12" s="384"/>
      <c r="C12" s="759"/>
      <c r="D12" s="980" t="s">
        <v>276</v>
      </c>
      <c r="E12" s="981"/>
      <c r="F12" s="981"/>
      <c r="G12" s="981"/>
      <c r="H12" s="981"/>
      <c r="I12" s="981"/>
      <c r="J12" s="981"/>
      <c r="K12" s="982"/>
      <c r="L12" s="6"/>
      <c r="M12" s="6"/>
      <c r="N12" s="6"/>
    </row>
    <row r="13" spans="1:14" ht="15.75" x14ac:dyDescent="0.2">
      <c r="A13" s="385" t="s">
        <v>13</v>
      </c>
      <c r="B13" s="8"/>
      <c r="C13" s="10">
        <v>44</v>
      </c>
      <c r="F13" s="757"/>
      <c r="G13" s="757"/>
      <c r="H13" s="757"/>
      <c r="I13" s="757"/>
      <c r="J13" s="757"/>
      <c r="K13" s="757"/>
      <c r="L13" s="12"/>
      <c r="M13" s="12"/>
      <c r="N13" s="12"/>
    </row>
    <row r="14" spans="1:14" ht="13.5" thickBot="1" x14ac:dyDescent="0.25">
      <c r="A14" s="386" t="s">
        <v>14</v>
      </c>
      <c r="B14" s="14"/>
      <c r="C14" s="16">
        <v>270</v>
      </c>
      <c r="F14" s="757"/>
      <c r="G14" s="757"/>
      <c r="H14" s="757"/>
      <c r="I14" s="757"/>
      <c r="J14" s="757"/>
      <c r="K14" s="757"/>
      <c r="L14" s="6"/>
      <c r="M14" s="6"/>
      <c r="N14" s="6"/>
    </row>
    <row r="15" spans="1:14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46</v>
      </c>
      <c r="K16" s="972" t="s">
        <v>23</v>
      </c>
      <c r="L16" s="972" t="s">
        <v>24</v>
      </c>
      <c r="M16" s="972" t="s">
        <v>25</v>
      </c>
      <c r="N16" s="972"/>
    </row>
    <row r="17" spans="1:14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973"/>
      <c r="M17" s="973"/>
      <c r="N17" s="973"/>
    </row>
    <row r="18" spans="1:14" s="24" customFormat="1" ht="15" customHeight="1" x14ac:dyDescent="0.25">
      <c r="A18" s="779" t="s">
        <v>686</v>
      </c>
      <c r="B18" s="390" t="s">
        <v>580</v>
      </c>
      <c r="C18" s="308"/>
      <c r="D18" s="309"/>
      <c r="E18" s="507">
        <v>1999</v>
      </c>
      <c r="F18" s="467" t="s">
        <v>10</v>
      </c>
      <c r="G18" s="466" t="s">
        <v>489</v>
      </c>
      <c r="H18" s="466" t="s">
        <v>581</v>
      </c>
      <c r="I18" s="465">
        <v>70.2</v>
      </c>
      <c r="J18" s="466">
        <v>194</v>
      </c>
      <c r="K18" s="466">
        <v>20</v>
      </c>
      <c r="L18" s="467" t="s">
        <v>10</v>
      </c>
      <c r="M18" s="387" t="s">
        <v>29</v>
      </c>
      <c r="N18" s="812"/>
    </row>
    <row r="19" spans="1:14" s="24" customFormat="1" ht="13.5" customHeight="1" x14ac:dyDescent="0.25">
      <c r="A19" s="779" t="s">
        <v>687</v>
      </c>
      <c r="B19" s="489" t="s">
        <v>280</v>
      </c>
      <c r="C19" s="478"/>
      <c r="D19" s="479"/>
      <c r="E19" s="480">
        <v>1990</v>
      </c>
      <c r="F19" s="505" t="s">
        <v>223</v>
      </c>
      <c r="G19" s="244" t="s">
        <v>35</v>
      </c>
      <c r="H19" s="469"/>
      <c r="I19" s="468">
        <v>88.45</v>
      </c>
      <c r="J19" s="469">
        <v>192</v>
      </c>
      <c r="K19" s="469">
        <v>18</v>
      </c>
      <c r="L19" s="467" t="s">
        <v>10</v>
      </c>
      <c r="M19" s="464" t="s">
        <v>210</v>
      </c>
      <c r="N19" s="802"/>
    </row>
    <row r="20" spans="1:14" s="24" customFormat="1" ht="13.5" customHeight="1" x14ac:dyDescent="0.25">
      <c r="A20" s="779" t="s">
        <v>688</v>
      </c>
      <c r="B20" s="487" t="s">
        <v>281</v>
      </c>
      <c r="C20" s="499"/>
      <c r="D20" s="500"/>
      <c r="E20" s="816">
        <v>1985</v>
      </c>
      <c r="F20" s="511" t="s">
        <v>9</v>
      </c>
      <c r="G20" s="474" t="s">
        <v>130</v>
      </c>
      <c r="H20" s="496"/>
      <c r="I20" s="547">
        <v>101.7</v>
      </c>
      <c r="J20" s="633">
        <v>174</v>
      </c>
      <c r="K20" s="471">
        <v>16</v>
      </c>
      <c r="L20" s="467" t="s">
        <v>10</v>
      </c>
      <c r="M20" s="388" t="s">
        <v>592</v>
      </c>
      <c r="N20" s="803"/>
    </row>
    <row r="21" spans="1:14" s="24" customFormat="1" ht="13.5" customHeight="1" x14ac:dyDescent="0.25">
      <c r="A21" s="779" t="s">
        <v>689</v>
      </c>
      <c r="B21" s="534" t="s">
        <v>587</v>
      </c>
      <c r="C21" s="718"/>
      <c r="D21" s="813"/>
      <c r="E21" s="535">
        <v>1999</v>
      </c>
      <c r="F21" s="509" t="s">
        <v>8</v>
      </c>
      <c r="G21" s="474" t="s">
        <v>27</v>
      </c>
      <c r="H21" s="473"/>
      <c r="I21" s="472">
        <v>85.55</v>
      </c>
      <c r="J21" s="473">
        <v>148</v>
      </c>
      <c r="K21" s="473">
        <v>15</v>
      </c>
      <c r="L21" s="818" t="s">
        <v>718</v>
      </c>
      <c r="M21" s="464" t="s">
        <v>588</v>
      </c>
      <c r="N21" s="564"/>
    </row>
    <row r="22" spans="1:14" s="24" customFormat="1" ht="13.5" customHeight="1" x14ac:dyDescent="0.25">
      <c r="A22" s="779" t="s">
        <v>690</v>
      </c>
      <c r="B22" s="388" t="s">
        <v>590</v>
      </c>
      <c r="C22" s="242"/>
      <c r="D22" s="243"/>
      <c r="E22" s="263">
        <v>1976</v>
      </c>
      <c r="F22" s="244" t="s">
        <v>8</v>
      </c>
      <c r="G22" s="245" t="s">
        <v>27</v>
      </c>
      <c r="H22" s="245"/>
      <c r="I22" s="91">
        <v>77.599999999999994</v>
      </c>
      <c r="J22" s="245">
        <v>144</v>
      </c>
      <c r="K22" s="471">
        <v>14</v>
      </c>
      <c r="L22" s="818" t="s">
        <v>718</v>
      </c>
      <c r="M22" s="241" t="s">
        <v>591</v>
      </c>
      <c r="N22" s="246"/>
    </row>
    <row r="23" spans="1:14" s="24" customFormat="1" ht="13.5" customHeight="1" x14ac:dyDescent="0.25">
      <c r="A23" s="779" t="s">
        <v>691</v>
      </c>
      <c r="B23" s="388" t="s">
        <v>582</v>
      </c>
      <c r="C23" s="242"/>
      <c r="D23" s="243"/>
      <c r="E23" s="397">
        <v>1999</v>
      </c>
      <c r="F23" s="244" t="s">
        <v>8</v>
      </c>
      <c r="G23" s="474" t="s">
        <v>33</v>
      </c>
      <c r="H23" s="511"/>
      <c r="I23" s="398">
        <v>102.3</v>
      </c>
      <c r="J23" s="399">
        <v>140</v>
      </c>
      <c r="K23" s="473">
        <v>13</v>
      </c>
      <c r="L23" s="818" t="s">
        <v>718</v>
      </c>
      <c r="M23" s="232" t="s">
        <v>583</v>
      </c>
      <c r="N23" s="246"/>
    </row>
    <row r="24" spans="1:14" s="24" customFormat="1" ht="18.75" customHeight="1" x14ac:dyDescent="0.25">
      <c r="A24" s="779" t="s">
        <v>692</v>
      </c>
      <c r="B24" s="387" t="s">
        <v>286</v>
      </c>
      <c r="C24" s="225"/>
      <c r="D24" s="226"/>
      <c r="E24" s="227">
        <v>1995</v>
      </c>
      <c r="F24" s="228" t="s">
        <v>9</v>
      </c>
      <c r="G24" s="231" t="s">
        <v>35</v>
      </c>
      <c r="H24" s="231"/>
      <c r="I24" s="230">
        <v>89.45</v>
      </c>
      <c r="J24" s="231">
        <v>136</v>
      </c>
      <c r="K24" s="471">
        <v>12</v>
      </c>
      <c r="L24" s="469" t="s">
        <v>9</v>
      </c>
      <c r="M24" s="224" t="s">
        <v>585</v>
      </c>
      <c r="N24" s="233"/>
    </row>
    <row r="25" spans="1:14" s="24" customFormat="1" ht="17.25" customHeight="1" x14ac:dyDescent="0.25">
      <c r="A25" s="779" t="s">
        <v>693</v>
      </c>
      <c r="B25" s="799" t="s">
        <v>297</v>
      </c>
      <c r="C25" s="493"/>
      <c r="D25" s="811"/>
      <c r="E25" s="362">
        <v>1966</v>
      </c>
      <c r="F25" s="362" t="s">
        <v>8</v>
      </c>
      <c r="G25" s="466" t="s">
        <v>492</v>
      </c>
      <c r="H25" s="362"/>
      <c r="I25" s="465">
        <v>76.099999999999994</v>
      </c>
      <c r="J25" s="466">
        <v>135</v>
      </c>
      <c r="K25" s="473">
        <v>11</v>
      </c>
      <c r="L25" s="818" t="s">
        <v>718</v>
      </c>
      <c r="M25" s="387" t="s">
        <v>217</v>
      </c>
      <c r="N25" s="812"/>
    </row>
    <row r="26" spans="1:14" s="24" customFormat="1" ht="15.75" customHeight="1" x14ac:dyDescent="0.25">
      <c r="A26" s="779" t="s">
        <v>709</v>
      </c>
      <c r="B26" s="489" t="s">
        <v>584</v>
      </c>
      <c r="C26" s="478"/>
      <c r="D26" s="479"/>
      <c r="E26" s="480">
        <v>1973</v>
      </c>
      <c r="F26" s="505" t="s">
        <v>9</v>
      </c>
      <c r="G26" s="469" t="s">
        <v>519</v>
      </c>
      <c r="H26" s="469"/>
      <c r="I26" s="468">
        <v>80.849999999999994</v>
      </c>
      <c r="J26" s="469">
        <v>123</v>
      </c>
      <c r="K26" s="471">
        <v>10</v>
      </c>
      <c r="L26" s="469" t="s">
        <v>8</v>
      </c>
      <c r="M26" s="462" t="s">
        <v>238</v>
      </c>
      <c r="N26" s="802"/>
    </row>
    <row r="27" spans="1:14" s="24" customFormat="1" ht="15" x14ac:dyDescent="0.25">
      <c r="A27" s="779" t="s">
        <v>710</v>
      </c>
      <c r="B27" s="388" t="s">
        <v>589</v>
      </c>
      <c r="C27" s="242"/>
      <c r="D27" s="243"/>
      <c r="E27" s="263">
        <v>1999</v>
      </c>
      <c r="F27" s="244" t="s">
        <v>8</v>
      </c>
      <c r="G27" s="245" t="s">
        <v>27</v>
      </c>
      <c r="H27" s="245"/>
      <c r="I27" s="91">
        <v>84.4</v>
      </c>
      <c r="J27" s="245">
        <v>100</v>
      </c>
      <c r="K27" s="473">
        <v>9</v>
      </c>
      <c r="L27" s="469" t="s">
        <v>8</v>
      </c>
      <c r="M27" s="241" t="s">
        <v>119</v>
      </c>
      <c r="N27" s="246"/>
    </row>
    <row r="28" spans="1:14" s="24" customFormat="1" ht="15.75" customHeight="1" x14ac:dyDescent="0.2">
      <c r="A28" s="779" t="s">
        <v>711</v>
      </c>
      <c r="B28" s="801" t="s">
        <v>679</v>
      </c>
      <c r="C28" s="804"/>
      <c r="D28" s="805"/>
      <c r="E28" s="497">
        <v>1999</v>
      </c>
      <c r="F28" s="473" t="s">
        <v>8</v>
      </c>
      <c r="G28" s="539" t="s">
        <v>35</v>
      </c>
      <c r="H28" s="473"/>
      <c r="I28" s="538">
        <v>74.3</v>
      </c>
      <c r="J28" s="539">
        <v>85</v>
      </c>
      <c r="K28" s="471">
        <v>8</v>
      </c>
      <c r="L28" s="469" t="s">
        <v>8</v>
      </c>
      <c r="M28" s="783" t="s">
        <v>586</v>
      </c>
      <c r="N28" s="806"/>
    </row>
    <row r="29" spans="1:14" s="24" customFormat="1" ht="15.75" customHeight="1" x14ac:dyDescent="0.2">
      <c r="A29" s="814"/>
      <c r="B29" s="826"/>
      <c r="C29" s="826"/>
      <c r="D29" s="826"/>
      <c r="E29" s="827"/>
      <c r="F29" s="815"/>
      <c r="G29" s="815"/>
      <c r="H29" s="815"/>
      <c r="I29" s="828"/>
      <c r="J29" s="815"/>
      <c r="K29" s="789"/>
      <c r="L29" s="815"/>
      <c r="M29" s="829"/>
      <c r="N29" s="829"/>
    </row>
    <row r="30" spans="1:14" s="24" customFormat="1" ht="15.75" customHeight="1" x14ac:dyDescent="0.2">
      <c r="A30" s="814"/>
      <c r="B30" s="830" t="s">
        <v>733</v>
      </c>
      <c r="C30" s="830"/>
      <c r="D30" s="830"/>
      <c r="E30" s="831"/>
      <c r="F30" s="832"/>
      <c r="G30" s="832"/>
      <c r="H30" s="815"/>
      <c r="I30" s="828"/>
      <c r="J30" s="815"/>
      <c r="K30" s="789"/>
      <c r="L30" s="815"/>
      <c r="M30" s="829"/>
      <c r="N30" s="829"/>
    </row>
    <row r="31" spans="1:14" x14ac:dyDescent="0.2">
      <c r="A31" s="17"/>
      <c r="B31" s="215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13.5" x14ac:dyDescent="0.25">
      <c r="A32" s="214" t="s">
        <v>534</v>
      </c>
      <c r="B32" s="210"/>
      <c r="C32" s="210"/>
      <c r="D32" s="210"/>
      <c r="E32" s="210"/>
      <c r="F32" s="210"/>
      <c r="G32" s="210"/>
      <c r="H32" s="214" t="s">
        <v>40</v>
      </c>
      <c r="J32" s="17"/>
      <c r="K32" s="761"/>
      <c r="L32" s="475" t="s">
        <v>536</v>
      </c>
      <c r="N32" s="761"/>
    </row>
    <row r="33" spans="1:14" ht="13.5" x14ac:dyDescent="0.25">
      <c r="A33" s="214"/>
      <c r="B33" s="383"/>
      <c r="C33" s="761"/>
      <c r="D33" s="17"/>
      <c r="E33" s="17"/>
      <c r="F33" s="17"/>
      <c r="G33" s="17"/>
      <c r="H33" s="214"/>
      <c r="J33" s="17"/>
      <c r="K33" s="761"/>
      <c r="L33" s="476"/>
      <c r="M33" s="17"/>
      <c r="N33" s="17"/>
    </row>
    <row r="34" spans="1:14" ht="13.5" x14ac:dyDescent="0.25">
      <c r="A34" s="214" t="s">
        <v>535</v>
      </c>
      <c r="B34" s="210"/>
      <c r="C34" s="210"/>
      <c r="D34" s="210"/>
      <c r="E34" s="210"/>
      <c r="F34" s="210"/>
      <c r="G34" s="210"/>
      <c r="H34" s="214" t="s">
        <v>41</v>
      </c>
      <c r="J34" s="210"/>
      <c r="L34" s="477" t="s">
        <v>537</v>
      </c>
      <c r="M34" s="761"/>
      <c r="N34" s="761"/>
    </row>
  </sheetData>
  <autoFilter ref="A16:N28">
    <filterColumn colId="1" showButton="0"/>
    <filterColumn colId="2" showButton="0"/>
    <filterColumn colId="12" showButton="0"/>
  </autoFilter>
  <sortState ref="B18:N28">
    <sortCondition descending="1" ref="J18:J28"/>
  </sortState>
  <mergeCells count="27">
    <mergeCell ref="B1:N1"/>
    <mergeCell ref="B2:N2"/>
    <mergeCell ref="B3:N3"/>
    <mergeCell ref="B4:N4"/>
    <mergeCell ref="A7:B7"/>
    <mergeCell ref="L7:N7"/>
    <mergeCell ref="A8:B8"/>
    <mergeCell ref="D8:K8"/>
    <mergeCell ref="L8:N8"/>
    <mergeCell ref="A9:B9"/>
    <mergeCell ref="C9:K9"/>
    <mergeCell ref="L9:N9"/>
    <mergeCell ref="L16:L17"/>
    <mergeCell ref="M16:N17"/>
    <mergeCell ref="A10:B11"/>
    <mergeCell ref="D10:K10"/>
    <mergeCell ref="D11:K11"/>
    <mergeCell ref="D12:K12"/>
    <mergeCell ref="A16:A17"/>
    <mergeCell ref="B16:D17"/>
    <mergeCell ref="E16:E17"/>
    <mergeCell ref="F16:F17"/>
    <mergeCell ref="G16:G17"/>
    <mergeCell ref="H16:H17"/>
    <mergeCell ref="I16:I17"/>
    <mergeCell ref="J16:J17"/>
    <mergeCell ref="K16:K17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colBreaks count="1" manualBreakCount="1">
    <brk id="14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3"/>
  <sheetViews>
    <sheetView topLeftCell="A6" zoomScaleSheetLayoutView="100" workbookViewId="0">
      <selection activeCell="C11" sqref="C11:D11"/>
    </sheetView>
  </sheetViews>
  <sheetFormatPr defaultColWidth="9.140625" defaultRowHeight="15" x14ac:dyDescent="0.25"/>
  <cols>
    <col min="1" max="2" width="5.5703125" style="60" customWidth="1"/>
    <col min="3" max="3" width="11.7109375" style="60" customWidth="1"/>
    <col min="4" max="4" width="24.140625" style="60" customWidth="1"/>
    <col min="5" max="5" width="8.140625" style="60" customWidth="1"/>
    <col min="6" max="6" width="7.5703125" style="60" customWidth="1"/>
    <col min="7" max="7" width="8.28515625" style="60" customWidth="1"/>
    <col min="8" max="8" width="7.5703125" style="60" customWidth="1"/>
    <col min="9" max="9" width="39.140625" style="60" customWidth="1"/>
    <col min="10" max="16384" width="9.140625" style="60"/>
  </cols>
  <sheetData>
    <row r="1" spans="1:21" ht="15.75" customHeight="1" x14ac:dyDescent="0.25">
      <c r="B1" s="515"/>
      <c r="C1" s="515"/>
      <c r="D1" s="969" t="s">
        <v>0</v>
      </c>
      <c r="E1" s="969"/>
      <c r="F1" s="969"/>
      <c r="G1" s="969"/>
      <c r="H1" s="969"/>
      <c r="I1" s="515"/>
      <c r="J1" s="515"/>
      <c r="K1" s="515"/>
      <c r="L1" s="515"/>
      <c r="M1" s="515"/>
      <c r="N1" s="59"/>
      <c r="O1" s="59"/>
      <c r="P1" s="59"/>
      <c r="Q1" s="59"/>
      <c r="R1" s="59"/>
      <c r="S1" s="59"/>
      <c r="T1" s="59"/>
      <c r="U1" s="59"/>
    </row>
    <row r="2" spans="1:21" ht="15.75" customHeight="1" x14ac:dyDescent="0.25">
      <c r="B2" s="515"/>
      <c r="C2" s="515"/>
      <c r="D2" s="969" t="s">
        <v>1</v>
      </c>
      <c r="E2" s="969"/>
      <c r="F2" s="969"/>
      <c r="G2" s="969"/>
      <c r="H2" s="969"/>
      <c r="I2" s="515"/>
      <c r="J2" s="515"/>
      <c r="K2" s="515"/>
      <c r="L2" s="515"/>
      <c r="M2" s="515"/>
      <c r="N2" s="59"/>
      <c r="O2" s="59"/>
      <c r="P2" s="59"/>
      <c r="Q2" s="59"/>
      <c r="R2" s="59"/>
      <c r="S2" s="59"/>
      <c r="T2" s="59"/>
      <c r="U2" s="59"/>
    </row>
    <row r="3" spans="1:21" ht="33.6" customHeight="1" x14ac:dyDescent="0.25">
      <c r="B3" s="515"/>
      <c r="C3" s="515"/>
      <c r="D3" s="1025" t="s">
        <v>531</v>
      </c>
      <c r="E3" s="1025"/>
      <c r="F3" s="1025"/>
      <c r="G3" s="1025"/>
      <c r="H3" s="1025"/>
      <c r="I3" s="515"/>
      <c r="J3" s="515"/>
      <c r="K3" s="515"/>
      <c r="L3" s="515"/>
      <c r="M3" s="515"/>
      <c r="N3" s="186"/>
      <c r="O3" s="186"/>
      <c r="P3" s="186"/>
      <c r="Q3" s="186"/>
      <c r="R3" s="186"/>
      <c r="S3" s="61"/>
      <c r="T3" s="61"/>
      <c r="U3" s="61"/>
    </row>
    <row r="4" spans="1:21" ht="33.6" customHeight="1" x14ac:dyDescent="0.25">
      <c r="B4" s="515"/>
      <c r="C4" s="515"/>
      <c r="D4" s="1025" t="s">
        <v>532</v>
      </c>
      <c r="E4" s="1025"/>
      <c r="F4" s="1025"/>
      <c r="G4" s="1025"/>
      <c r="H4" s="1025"/>
      <c r="I4" s="515"/>
      <c r="J4" s="515"/>
      <c r="K4" s="515"/>
      <c r="L4" s="515"/>
      <c r="M4" s="515"/>
      <c r="N4" s="186"/>
      <c r="O4" s="186"/>
      <c r="P4" s="186"/>
      <c r="Q4" s="186"/>
      <c r="R4" s="186"/>
      <c r="S4" s="59"/>
      <c r="T4" s="59"/>
      <c r="U4" s="59"/>
    </row>
    <row r="5" spans="1:21" ht="15.75" customHeight="1" x14ac:dyDescent="0.25">
      <c r="B5" s="771"/>
      <c r="C5" s="771"/>
      <c r="D5" s="1023" t="s">
        <v>3</v>
      </c>
      <c r="E5" s="1023"/>
      <c r="F5" s="1023"/>
      <c r="G5" s="1023"/>
      <c r="H5" s="1023"/>
      <c r="I5" s="771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</row>
    <row r="6" spans="1:21" ht="15.75" customHeight="1" x14ac:dyDescent="0.25">
      <c r="B6" s="441"/>
      <c r="C6" s="441"/>
      <c r="D6" s="975" t="s">
        <v>539</v>
      </c>
      <c r="E6" s="1022"/>
      <c r="F6" s="1022"/>
      <c r="G6" s="1022"/>
      <c r="H6" s="1022"/>
      <c r="I6" s="776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ht="15.75" customHeight="1" x14ac:dyDescent="0.25">
      <c r="B7" s="772"/>
      <c r="C7" s="772"/>
      <c r="D7" s="1024" t="s">
        <v>538</v>
      </c>
      <c r="E7" s="1024"/>
      <c r="F7" s="1024"/>
      <c r="G7" s="1024"/>
      <c r="H7" s="1024"/>
      <c r="I7" s="772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ht="19.5" customHeight="1" x14ac:dyDescent="0.25">
      <c r="A8" s="760" t="s">
        <v>681</v>
      </c>
      <c r="B8" s="760"/>
      <c r="C8" s="760"/>
      <c r="D8" s="760"/>
      <c r="E8" s="64"/>
      <c r="F8" s="64"/>
      <c r="G8" s="65"/>
      <c r="H8" s="66"/>
      <c r="I8" s="67"/>
      <c r="J8" s="68"/>
      <c r="K8" s="69"/>
      <c r="L8" s="70"/>
      <c r="M8" s="70"/>
      <c r="N8" s="59"/>
      <c r="O8" s="59"/>
      <c r="P8" s="59"/>
      <c r="Q8" s="59"/>
      <c r="R8" s="59"/>
      <c r="S8" s="59"/>
      <c r="T8" s="59"/>
      <c r="U8" s="59"/>
    </row>
    <row r="9" spans="1:21" ht="19.5" customHeight="1" x14ac:dyDescent="0.25">
      <c r="A9" s="459" t="s">
        <v>530</v>
      </c>
      <c r="B9" s="459"/>
      <c r="C9" s="459"/>
      <c r="D9" s="459"/>
      <c r="E9" s="64"/>
      <c r="F9" s="64"/>
      <c r="G9" s="65"/>
      <c r="H9" s="66"/>
      <c r="I9" s="71" t="s">
        <v>51</v>
      </c>
      <c r="J9" s="68"/>
      <c r="K9" s="69"/>
      <c r="L9" s="70"/>
      <c r="M9" s="70"/>
      <c r="N9" s="59"/>
      <c r="O9" s="59"/>
      <c r="P9" s="59"/>
      <c r="Q9" s="59"/>
      <c r="R9" s="59"/>
      <c r="S9" s="59"/>
      <c r="T9" s="59"/>
      <c r="U9" s="59"/>
    </row>
    <row r="10" spans="1:21" ht="16.5" customHeight="1" x14ac:dyDescent="0.25">
      <c r="A10" s="421"/>
      <c r="B10" s="773"/>
      <c r="C10" s="1026"/>
      <c r="D10" s="1027"/>
      <c r="E10" s="74"/>
      <c r="F10" s="74"/>
      <c r="G10" s="74"/>
      <c r="H10" s="74"/>
      <c r="I10" s="71"/>
    </row>
    <row r="11" spans="1:21" ht="24.75" customHeight="1" thickBot="1" x14ac:dyDescent="0.3">
      <c r="A11" s="72" t="s">
        <v>52</v>
      </c>
      <c r="B11" s="73"/>
      <c r="C11" s="1042" t="s">
        <v>459</v>
      </c>
      <c r="D11" s="1042"/>
      <c r="E11" s="74"/>
      <c r="F11" s="74"/>
      <c r="G11" s="74"/>
      <c r="H11" s="74"/>
    </row>
    <row r="12" spans="1:21" ht="24" customHeight="1" thickBot="1" x14ac:dyDescent="0.3">
      <c r="A12" s="75" t="s">
        <v>15</v>
      </c>
      <c r="B12" s="76" t="s">
        <v>53</v>
      </c>
      <c r="C12" s="77" t="s">
        <v>54</v>
      </c>
      <c r="D12" s="76" t="s">
        <v>55</v>
      </c>
      <c r="E12" s="77" t="s">
        <v>17</v>
      </c>
      <c r="F12" s="77" t="s">
        <v>56</v>
      </c>
      <c r="G12" s="77" t="s">
        <v>57</v>
      </c>
      <c r="H12" s="77" t="s">
        <v>58</v>
      </c>
      <c r="I12" s="842" t="s">
        <v>59</v>
      </c>
    </row>
    <row r="13" spans="1:21" ht="16.5" customHeight="1" x14ac:dyDescent="0.25">
      <c r="A13" s="325"/>
      <c r="B13" s="150">
        <v>1</v>
      </c>
      <c r="C13" s="79">
        <v>68</v>
      </c>
      <c r="D13" s="838" t="s">
        <v>610</v>
      </c>
      <c r="E13" s="161">
        <v>1995</v>
      </c>
      <c r="F13" s="468">
        <v>67.95</v>
      </c>
      <c r="G13" s="81">
        <v>28</v>
      </c>
      <c r="H13" s="82">
        <f>G13</f>
        <v>28</v>
      </c>
      <c r="I13" s="849" t="s">
        <v>611</v>
      </c>
    </row>
    <row r="14" spans="1:21" ht="16.5" customHeight="1" x14ac:dyDescent="0.25">
      <c r="A14" s="151"/>
      <c r="B14" s="83">
        <v>2</v>
      </c>
      <c r="C14" s="152">
        <v>73</v>
      </c>
      <c r="D14" s="387" t="s">
        <v>435</v>
      </c>
      <c r="E14" s="227">
        <v>1997</v>
      </c>
      <c r="F14" s="230">
        <v>73</v>
      </c>
      <c r="G14" s="83">
        <v>38</v>
      </c>
      <c r="H14" s="86">
        <f>H13+G14</f>
        <v>66</v>
      </c>
      <c r="I14" s="229" t="s">
        <v>623</v>
      </c>
      <c r="J14" s="270"/>
    </row>
    <row r="15" spans="1:21" ht="16.5" customHeight="1" x14ac:dyDescent="0.25">
      <c r="A15" s="151">
        <v>1</v>
      </c>
      <c r="B15" s="83">
        <v>3</v>
      </c>
      <c r="C15" s="83">
        <v>85</v>
      </c>
      <c r="D15" s="387" t="s">
        <v>641</v>
      </c>
      <c r="E15" s="227">
        <v>1978</v>
      </c>
      <c r="F15" s="230">
        <v>85</v>
      </c>
      <c r="G15" s="89">
        <v>31</v>
      </c>
      <c r="H15" s="86">
        <f>H14+G15</f>
        <v>97</v>
      </c>
      <c r="I15" s="229" t="s">
        <v>642</v>
      </c>
    </row>
    <row r="16" spans="1:21" ht="18.75" customHeight="1" x14ac:dyDescent="0.25">
      <c r="A16" s="151"/>
      <c r="B16" s="83">
        <v>4</v>
      </c>
      <c r="C16" s="83">
        <v>95</v>
      </c>
      <c r="D16" s="534" t="s">
        <v>305</v>
      </c>
      <c r="E16" s="506">
        <v>1974</v>
      </c>
      <c r="F16" s="472">
        <v>94.85</v>
      </c>
      <c r="G16" s="85">
        <v>36</v>
      </c>
      <c r="H16" s="86">
        <f>H15+G16</f>
        <v>133</v>
      </c>
      <c r="I16" s="843" t="s">
        <v>660</v>
      </c>
      <c r="J16" s="97"/>
    </row>
    <row r="17" spans="1:21" ht="19.5" customHeight="1" thickBot="1" x14ac:dyDescent="0.3">
      <c r="A17" s="155"/>
      <c r="B17" s="92">
        <v>5</v>
      </c>
      <c r="C17" s="850" t="s">
        <v>431</v>
      </c>
      <c r="D17" s="838" t="s">
        <v>670</v>
      </c>
      <c r="E17" s="851">
        <v>1987</v>
      </c>
      <c r="F17" s="468">
        <v>106.45</v>
      </c>
      <c r="G17" s="95">
        <v>36</v>
      </c>
      <c r="H17" s="96">
        <f>H16+G17</f>
        <v>169</v>
      </c>
      <c r="I17" s="844" t="s">
        <v>671</v>
      </c>
      <c r="J17" s="97"/>
    </row>
    <row r="18" spans="1:21" ht="19.5" customHeight="1" thickBot="1" x14ac:dyDescent="0.3">
      <c r="A18" s="1031" t="s">
        <v>63</v>
      </c>
      <c r="B18" s="1031"/>
      <c r="C18" s="1031"/>
      <c r="D18" s="1031"/>
      <c r="E18" s="1032"/>
      <c r="F18" s="98">
        <f>SUM(F13:F17)</f>
        <v>427.24999999999994</v>
      </c>
      <c r="G18" s="74"/>
      <c r="H18" s="99">
        <f>H17</f>
        <v>169</v>
      </c>
      <c r="I18" s="74"/>
      <c r="J18" s="68"/>
      <c r="K18" s="69"/>
      <c r="L18" s="70"/>
      <c r="M18" s="70"/>
      <c r="N18" s="59"/>
      <c r="O18" s="59"/>
      <c r="P18" s="59"/>
      <c r="Q18" s="59"/>
      <c r="R18" s="59"/>
      <c r="S18" s="59"/>
      <c r="T18" s="59"/>
      <c r="U18" s="59"/>
    </row>
    <row r="19" spans="1:21" ht="15.75" customHeight="1" thickBot="1" x14ac:dyDescent="0.3">
      <c r="A19" s="72" t="s">
        <v>52</v>
      </c>
      <c r="B19" s="73"/>
      <c r="C19" s="1037" t="s">
        <v>458</v>
      </c>
      <c r="D19" s="1037"/>
      <c r="E19" s="104"/>
      <c r="F19" s="104"/>
      <c r="G19" s="104"/>
      <c r="H19" s="104"/>
      <c r="I19" s="104"/>
    </row>
    <row r="20" spans="1:21" ht="23.25" customHeight="1" thickBot="1" x14ac:dyDescent="0.3">
      <c r="A20" s="75" t="s">
        <v>15</v>
      </c>
      <c r="B20" s="76" t="s">
        <v>53</v>
      </c>
      <c r="C20" s="77" t="s">
        <v>54</v>
      </c>
      <c r="D20" s="76" t="s">
        <v>55</v>
      </c>
      <c r="E20" s="77" t="s">
        <v>17</v>
      </c>
      <c r="F20" s="77" t="s">
        <v>56</v>
      </c>
      <c r="G20" s="77" t="s">
        <v>57</v>
      </c>
      <c r="H20" s="77" t="s">
        <v>58</v>
      </c>
      <c r="I20" s="78" t="s">
        <v>59</v>
      </c>
    </row>
    <row r="21" spans="1:21" ht="15" customHeight="1" x14ac:dyDescent="0.25">
      <c r="A21" s="105"/>
      <c r="B21" s="150">
        <v>1</v>
      </c>
      <c r="C21" s="79">
        <v>68</v>
      </c>
      <c r="D21" s="80" t="s">
        <v>92</v>
      </c>
      <c r="E21" s="362">
        <v>1991</v>
      </c>
      <c r="F21" s="465">
        <v>68</v>
      </c>
      <c r="G21" s="81">
        <v>28</v>
      </c>
      <c r="H21" s="82">
        <f>G21</f>
        <v>28</v>
      </c>
      <c r="I21" s="852" t="s">
        <v>357</v>
      </c>
    </row>
    <row r="22" spans="1:21" ht="14.25" customHeight="1" x14ac:dyDescent="0.25">
      <c r="A22" s="111"/>
      <c r="B22" s="83">
        <v>2</v>
      </c>
      <c r="C22" s="152">
        <v>78</v>
      </c>
      <c r="D22" s="153" t="s">
        <v>72</v>
      </c>
      <c r="E22" s="480">
        <v>1985</v>
      </c>
      <c r="F22" s="468">
        <v>78</v>
      </c>
      <c r="G22" s="83">
        <v>33</v>
      </c>
      <c r="H22" s="86">
        <f>H21+G22</f>
        <v>61</v>
      </c>
      <c r="I22" s="422" t="s">
        <v>632</v>
      </c>
    </row>
    <row r="23" spans="1:21" ht="15" customHeight="1" x14ac:dyDescent="0.25">
      <c r="A23" s="111">
        <v>2</v>
      </c>
      <c r="B23" s="83">
        <v>3</v>
      </c>
      <c r="C23" s="83">
        <v>85</v>
      </c>
      <c r="D23" s="84" t="s">
        <v>630</v>
      </c>
      <c r="E23" s="496">
        <v>1999</v>
      </c>
      <c r="F23" s="230">
        <v>78.25</v>
      </c>
      <c r="G23" s="89">
        <v>30</v>
      </c>
      <c r="H23" s="86">
        <f>H22+G23</f>
        <v>91</v>
      </c>
      <c r="I23" s="845" t="s">
        <v>631</v>
      </c>
    </row>
    <row r="24" spans="1:21" ht="15" customHeight="1" x14ac:dyDescent="0.25">
      <c r="A24" s="111"/>
      <c r="B24" s="83">
        <v>4</v>
      </c>
      <c r="C24" s="83">
        <v>95</v>
      </c>
      <c r="D24" s="87" t="s">
        <v>633</v>
      </c>
      <c r="E24" s="496">
        <v>1995</v>
      </c>
      <c r="F24" s="465">
        <v>85.3</v>
      </c>
      <c r="G24" s="85">
        <v>30</v>
      </c>
      <c r="H24" s="86">
        <f>H23+G24</f>
        <v>121</v>
      </c>
      <c r="I24" s="843" t="s">
        <v>210</v>
      </c>
    </row>
    <row r="25" spans="1:21" ht="15" customHeight="1" thickBot="1" x14ac:dyDescent="0.3">
      <c r="A25" s="116"/>
      <c r="B25" s="92">
        <v>5</v>
      </c>
      <c r="C25" s="850" t="s">
        <v>431</v>
      </c>
      <c r="D25" s="94" t="s">
        <v>683</v>
      </c>
      <c r="E25" s="623">
        <v>1983</v>
      </c>
      <c r="F25" s="620">
        <v>100.6</v>
      </c>
      <c r="G25" s="95">
        <v>36</v>
      </c>
      <c r="H25" s="96">
        <f>H24+G25</f>
        <v>157</v>
      </c>
      <c r="I25" s="853" t="s">
        <v>725</v>
      </c>
    </row>
    <row r="26" spans="1:21" ht="18" customHeight="1" thickBot="1" x14ac:dyDescent="0.3">
      <c r="A26" s="1033" t="s">
        <v>63</v>
      </c>
      <c r="B26" s="1033"/>
      <c r="C26" s="1033"/>
      <c r="D26" s="1033"/>
      <c r="E26" s="1034"/>
      <c r="F26" s="121">
        <f>SUM(F21:F25)</f>
        <v>410.15</v>
      </c>
      <c r="G26" s="104"/>
      <c r="H26" s="99">
        <f>H25</f>
        <v>157</v>
      </c>
      <c r="I26" s="104"/>
    </row>
    <row r="27" spans="1:21" x14ac:dyDescent="0.25">
      <c r="A27" s="421"/>
      <c r="B27" s="73"/>
      <c r="C27" s="1041"/>
      <c r="D27" s="1041"/>
      <c r="E27" s="74"/>
      <c r="F27" s="74"/>
      <c r="G27" s="74"/>
      <c r="H27" s="74"/>
      <c r="I27" s="71"/>
    </row>
    <row r="28" spans="1:21" ht="15.75" thickBot="1" x14ac:dyDescent="0.3">
      <c r="A28" s="122" t="s">
        <v>67</v>
      </c>
      <c r="B28" s="122"/>
      <c r="C28" s="1035" t="s">
        <v>511</v>
      </c>
      <c r="D28" s="1036"/>
      <c r="E28" s="123"/>
      <c r="F28" s="123"/>
      <c r="G28" s="123"/>
      <c r="H28" s="123"/>
      <c r="I28" s="123"/>
    </row>
    <row r="29" spans="1:21" ht="23.25" thickBot="1" x14ac:dyDescent="0.3">
      <c r="A29" s="124" t="s">
        <v>15</v>
      </c>
      <c r="B29" s="125" t="s">
        <v>53</v>
      </c>
      <c r="C29" s="126" t="s">
        <v>54</v>
      </c>
      <c r="D29" s="125" t="s">
        <v>55</v>
      </c>
      <c r="E29" s="126" t="s">
        <v>17</v>
      </c>
      <c r="F29" s="126" t="s">
        <v>56</v>
      </c>
      <c r="G29" s="126" t="s">
        <v>57</v>
      </c>
      <c r="H29" s="126" t="s">
        <v>68</v>
      </c>
      <c r="I29" s="127" t="s">
        <v>59</v>
      </c>
    </row>
    <row r="30" spans="1:21" ht="15.75" x14ac:dyDescent="0.25">
      <c r="A30" s="1038">
        <v>3</v>
      </c>
      <c r="B30" s="128">
        <v>1</v>
      </c>
      <c r="C30" s="854">
        <v>68</v>
      </c>
      <c r="D30" s="388" t="s">
        <v>618</v>
      </c>
      <c r="E30" s="855">
        <v>1994</v>
      </c>
      <c r="F30" s="91">
        <v>67.099999999999994</v>
      </c>
      <c r="G30" s="856">
        <v>22</v>
      </c>
      <c r="H30" s="110">
        <f>G30</f>
        <v>22</v>
      </c>
      <c r="I30" s="129" t="s">
        <v>34</v>
      </c>
    </row>
    <row r="31" spans="1:21" ht="15.75" x14ac:dyDescent="0.25">
      <c r="A31" s="1039"/>
      <c r="B31" s="130">
        <v>2</v>
      </c>
      <c r="C31" s="857">
        <v>78</v>
      </c>
      <c r="D31" s="858" t="s">
        <v>637</v>
      </c>
      <c r="E31" s="859">
        <v>1991</v>
      </c>
      <c r="F31" s="398">
        <v>76.400000000000006</v>
      </c>
      <c r="G31" s="609">
        <v>27</v>
      </c>
      <c r="H31" s="86">
        <f>H30+G31</f>
        <v>49</v>
      </c>
      <c r="I31" s="132" t="s">
        <v>34</v>
      </c>
    </row>
    <row r="32" spans="1:21" ht="15.75" x14ac:dyDescent="0.25">
      <c r="A32" s="1039"/>
      <c r="B32" s="130">
        <v>3</v>
      </c>
      <c r="C32" s="857">
        <v>85</v>
      </c>
      <c r="D32" s="611" t="s">
        <v>649</v>
      </c>
      <c r="E32" s="860">
        <v>1995</v>
      </c>
      <c r="F32" s="470">
        <v>83.4</v>
      </c>
      <c r="G32" s="609">
        <v>33</v>
      </c>
      <c r="H32" s="86">
        <f>H31+G32</f>
        <v>82</v>
      </c>
      <c r="I32" s="133" t="s">
        <v>650</v>
      </c>
    </row>
    <row r="33" spans="1:9" ht="15.75" x14ac:dyDescent="0.25">
      <c r="A33" s="1039"/>
      <c r="B33" s="130">
        <v>4</v>
      </c>
      <c r="C33" s="857">
        <v>95</v>
      </c>
      <c r="D33" s="612" t="s">
        <v>224</v>
      </c>
      <c r="E33" s="860">
        <v>1990</v>
      </c>
      <c r="F33" s="398">
        <v>94.3</v>
      </c>
      <c r="G33" s="613">
        <v>37</v>
      </c>
      <c r="H33" s="86">
        <f>H32+G33</f>
        <v>119</v>
      </c>
      <c r="I33" s="862" t="s">
        <v>665</v>
      </c>
    </row>
    <row r="34" spans="1:9" ht="16.5" thickBot="1" x14ac:dyDescent="0.3">
      <c r="A34" s="1040"/>
      <c r="B34" s="134">
        <v>5</v>
      </c>
      <c r="C34" s="850" t="s">
        <v>431</v>
      </c>
      <c r="D34" s="615" t="s">
        <v>504</v>
      </c>
      <c r="E34" s="616">
        <v>1994</v>
      </c>
      <c r="F34" s="452">
        <v>101.3</v>
      </c>
      <c r="G34" s="861">
        <v>37</v>
      </c>
      <c r="H34" s="120">
        <f>H33+G34</f>
        <v>156</v>
      </c>
      <c r="I34" s="453" t="s">
        <v>682</v>
      </c>
    </row>
    <row r="35" spans="1:9" ht="16.5" thickBot="1" x14ac:dyDescent="0.3">
      <c r="A35" s="135"/>
      <c r="B35" s="135"/>
      <c r="C35" s="135"/>
      <c r="D35" s="135" t="s">
        <v>69</v>
      </c>
      <c r="E35" s="136"/>
      <c r="F35" s="189">
        <f>SUM(F30:F34)</f>
        <v>422.5</v>
      </c>
      <c r="G35" s="123"/>
      <c r="H35" s="99">
        <f>H34</f>
        <v>156</v>
      </c>
      <c r="I35" s="123"/>
    </row>
    <row r="36" spans="1:9" ht="15.75" x14ac:dyDescent="0.25">
      <c r="A36" s="100"/>
      <c r="B36" s="101"/>
      <c r="C36" s="101"/>
      <c r="D36" s="64"/>
      <c r="E36" s="64"/>
      <c r="F36" s="64"/>
      <c r="G36" s="65"/>
      <c r="H36" s="66"/>
      <c r="I36" s="102"/>
    </row>
    <row r="38" spans="1:9" ht="15.75" thickBot="1" x14ac:dyDescent="0.3">
      <c r="A38" s="421" t="s">
        <v>52</v>
      </c>
      <c r="B38" s="73"/>
      <c r="C38" s="1026" t="s">
        <v>734</v>
      </c>
      <c r="D38" s="1027"/>
      <c r="E38" s="74"/>
      <c r="F38" s="74"/>
      <c r="G38" s="74"/>
      <c r="H38" s="74"/>
      <c r="I38" s="71"/>
    </row>
    <row r="39" spans="1:9" ht="22.5" x14ac:dyDescent="0.25">
      <c r="A39" s="447" t="s">
        <v>15</v>
      </c>
      <c r="B39" s="448" t="s">
        <v>53</v>
      </c>
      <c r="C39" s="449" t="s">
        <v>54</v>
      </c>
      <c r="D39" s="448" t="s">
        <v>55</v>
      </c>
      <c r="E39" s="449" t="s">
        <v>17</v>
      </c>
      <c r="F39" s="449" t="s">
        <v>56</v>
      </c>
      <c r="G39" s="449" t="s">
        <v>57</v>
      </c>
      <c r="H39" s="449" t="s">
        <v>58</v>
      </c>
      <c r="I39" s="450" t="s">
        <v>59</v>
      </c>
    </row>
    <row r="40" spans="1:9" x14ac:dyDescent="0.25">
      <c r="A40" s="1028">
        <v>4</v>
      </c>
      <c r="B40" s="83">
        <v>1</v>
      </c>
      <c r="C40" s="152">
        <v>63</v>
      </c>
      <c r="D40" s="423" t="s">
        <v>127</v>
      </c>
      <c r="E40" s="356">
        <v>1990</v>
      </c>
      <c r="F40" s="579">
        <v>62.45</v>
      </c>
      <c r="G40" s="244">
        <v>19</v>
      </c>
      <c r="H40" s="86">
        <f>G40</f>
        <v>19</v>
      </c>
      <c r="I40" s="846" t="s">
        <v>596</v>
      </c>
    </row>
    <row r="41" spans="1:9" x14ac:dyDescent="0.25">
      <c r="A41" s="1029"/>
      <c r="B41" s="83">
        <v>2</v>
      </c>
      <c r="C41" s="83">
        <v>78</v>
      </c>
      <c r="D41" s="422" t="s">
        <v>174</v>
      </c>
      <c r="E41" s="263">
        <v>1989</v>
      </c>
      <c r="F41" s="91">
        <v>77.7</v>
      </c>
      <c r="G41" s="263">
        <v>28</v>
      </c>
      <c r="H41" s="86">
        <f>H40+G41</f>
        <v>47</v>
      </c>
      <c r="I41" s="229" t="s">
        <v>629</v>
      </c>
    </row>
    <row r="42" spans="1:9" x14ac:dyDescent="0.25">
      <c r="A42" s="1029"/>
      <c r="B42" s="83">
        <v>3</v>
      </c>
      <c r="C42" s="83">
        <v>85</v>
      </c>
      <c r="D42" s="423" t="s">
        <v>375</v>
      </c>
      <c r="E42" s="511">
        <v>1987</v>
      </c>
      <c r="F42" s="470">
        <v>84.1</v>
      </c>
      <c r="G42" s="89">
        <v>25</v>
      </c>
      <c r="H42" s="86">
        <f>H41+G42</f>
        <v>72</v>
      </c>
      <c r="I42" s="422" t="s">
        <v>735</v>
      </c>
    </row>
    <row r="43" spans="1:9" x14ac:dyDescent="0.25">
      <c r="A43" s="1029"/>
      <c r="B43" s="83">
        <v>4</v>
      </c>
      <c r="C43" s="83">
        <v>95</v>
      </c>
      <c r="D43" s="422" t="s">
        <v>653</v>
      </c>
      <c r="E43" s="511">
        <v>1992</v>
      </c>
      <c r="F43" s="470">
        <v>90.9</v>
      </c>
      <c r="G43" s="85">
        <v>24</v>
      </c>
      <c r="H43" s="86">
        <f>H42+G43</f>
        <v>96</v>
      </c>
      <c r="I43" s="843" t="s">
        <v>654</v>
      </c>
    </row>
    <row r="44" spans="1:9" ht="15.75" thickBot="1" x14ac:dyDescent="0.3">
      <c r="A44" s="1030"/>
      <c r="B44" s="92">
        <v>5</v>
      </c>
      <c r="C44" s="614" t="s">
        <v>431</v>
      </c>
      <c r="D44" s="451" t="s">
        <v>240</v>
      </c>
      <c r="E44" s="864">
        <v>1976</v>
      </c>
      <c r="F44" s="863">
        <v>103.35</v>
      </c>
      <c r="G44" s="203">
        <v>29</v>
      </c>
      <c r="H44" s="120">
        <f>H43+G44</f>
        <v>125</v>
      </c>
      <c r="I44" s="847" t="s">
        <v>241</v>
      </c>
    </row>
    <row r="45" spans="1:9" ht="16.5" thickBot="1" x14ac:dyDescent="0.3">
      <c r="A45" s="1031" t="s">
        <v>63</v>
      </c>
      <c r="B45" s="1031"/>
      <c r="C45" s="1031"/>
      <c r="D45" s="1031"/>
      <c r="E45" s="1032"/>
      <c r="F45" s="98">
        <f>SUM(F40:F44)</f>
        <v>418.5</v>
      </c>
      <c r="G45" s="74"/>
      <c r="H45" s="99">
        <f>H44</f>
        <v>125</v>
      </c>
      <c r="I45" s="74"/>
    </row>
    <row r="48" spans="1:9" ht="15.75" x14ac:dyDescent="0.25">
      <c r="B48" s="848" t="s">
        <v>736</v>
      </c>
      <c r="D48" s="157"/>
      <c r="E48" s="157"/>
      <c r="F48" s="157"/>
      <c r="G48" s="157"/>
      <c r="H48" s="157"/>
      <c r="I48" s="157"/>
    </row>
    <row r="50" spans="1:7" x14ac:dyDescent="0.25">
      <c r="A50" s="214" t="s">
        <v>534</v>
      </c>
      <c r="B50" s="210"/>
      <c r="C50" s="210"/>
      <c r="D50" s="210"/>
      <c r="E50" s="210"/>
      <c r="F50" s="210"/>
      <c r="G50" s="210"/>
    </row>
    <row r="51" spans="1:7" x14ac:dyDescent="0.25">
      <c r="A51" s="214"/>
      <c r="B51" s="383"/>
      <c r="C51" s="205"/>
      <c r="D51" s="17"/>
      <c r="E51" s="17"/>
      <c r="F51" s="17"/>
      <c r="G51" s="17"/>
    </row>
    <row r="52" spans="1:7" x14ac:dyDescent="0.25">
      <c r="A52" s="214" t="s">
        <v>535</v>
      </c>
      <c r="B52" s="210"/>
      <c r="C52" s="210"/>
      <c r="D52" s="210"/>
      <c r="E52" s="210"/>
      <c r="F52" s="210"/>
      <c r="G52" s="210"/>
    </row>
    <row r="53" spans="1:7" x14ac:dyDescent="0.25">
      <c r="A53"/>
      <c r="B53" s="167"/>
      <c r="C53" s="167"/>
      <c r="D53" s="167"/>
      <c r="E53"/>
      <c r="F53"/>
      <c r="G53"/>
    </row>
  </sheetData>
  <mergeCells count="18">
    <mergeCell ref="C10:D10"/>
    <mergeCell ref="C38:D38"/>
    <mergeCell ref="A40:A44"/>
    <mergeCell ref="A45:E45"/>
    <mergeCell ref="A26:E26"/>
    <mergeCell ref="C28:D28"/>
    <mergeCell ref="C19:D19"/>
    <mergeCell ref="A30:A34"/>
    <mergeCell ref="C27:D27"/>
    <mergeCell ref="C11:D11"/>
    <mergeCell ref="A18:E18"/>
    <mergeCell ref="D1:H1"/>
    <mergeCell ref="D6:H6"/>
    <mergeCell ref="D5:H5"/>
    <mergeCell ref="D7:H7"/>
    <mergeCell ref="D4:H4"/>
    <mergeCell ref="D3:H3"/>
    <mergeCell ref="D2:H2"/>
  </mergeCells>
  <phoneticPr fontId="33" type="noConversion"/>
  <pageMargins left="0.82677165354330717" right="0.11811023622047245" top="0.19685039370078741" bottom="0.15748031496062992" header="0" footer="0"/>
  <pageSetup paperSize="9" scale="8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showWhiteSpace="0" zoomScaleNormal="110" zoomScaleSheetLayoutView="100" zoomScalePageLayoutView="85" workbookViewId="0">
      <selection activeCell="C9" sqref="C9"/>
    </sheetView>
  </sheetViews>
  <sheetFormatPr defaultRowHeight="12.75" x14ac:dyDescent="0.2"/>
  <cols>
    <col min="1" max="1" width="6.7109375" customWidth="1"/>
    <col min="2" max="2" width="7.85546875" customWidth="1"/>
    <col min="3" max="3" width="17.42578125" customWidth="1"/>
    <col min="4" max="4" width="8.85546875" customWidth="1"/>
    <col min="5" max="5" width="6.7109375" customWidth="1"/>
    <col min="6" max="6" width="20.7109375" customWidth="1"/>
    <col min="7" max="7" width="9.7109375" customWidth="1"/>
    <col min="8" max="8" width="6.5703125" customWidth="1"/>
    <col min="9" max="13" width="5.85546875" customWidth="1"/>
    <col min="14" max="14" width="7.42578125" customWidth="1"/>
    <col min="15" max="15" width="5.85546875" customWidth="1"/>
    <col min="16" max="16" width="6.85546875" customWidth="1"/>
    <col min="17" max="17" width="10.140625" customWidth="1"/>
    <col min="18" max="18" width="16.7109375" customWidth="1"/>
  </cols>
  <sheetData>
    <row r="1" spans="1:18" ht="15.75" customHeight="1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</row>
    <row r="2" spans="1:18" ht="15.75" customHeight="1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</row>
    <row r="3" spans="1:18" ht="15.75" customHeight="1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</row>
    <row r="4" spans="1:18" ht="15.75" customHeight="1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7"/>
      <c r="R4" s="987"/>
    </row>
    <row r="5" spans="1:18" ht="12" customHeight="1" x14ac:dyDescent="0.25">
      <c r="A5" s="970" t="s">
        <v>112</v>
      </c>
      <c r="B5" s="970"/>
      <c r="C5" s="970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970" t="s">
        <v>2</v>
      </c>
      <c r="Q5" s="1043"/>
      <c r="R5" s="1043"/>
    </row>
    <row r="6" spans="1:18" ht="15.75" customHeight="1" x14ac:dyDescent="0.25">
      <c r="A6" s="988" t="s">
        <v>457</v>
      </c>
      <c r="B6" s="988"/>
      <c r="C6" s="989"/>
      <c r="D6" s="983" t="s">
        <v>77</v>
      </c>
      <c r="E6" s="1043"/>
      <c r="F6" s="1043"/>
      <c r="G6" s="1043"/>
      <c r="H6" s="1043"/>
      <c r="I6" s="1043"/>
      <c r="J6" s="1043"/>
      <c r="K6" s="1043"/>
      <c r="L6" s="1043"/>
      <c r="M6" s="1043"/>
      <c r="N6" s="1043"/>
      <c r="O6" s="1043"/>
      <c r="P6" s="1044" t="s">
        <v>4</v>
      </c>
      <c r="Q6" s="1045"/>
      <c r="R6" s="1045"/>
    </row>
    <row r="7" spans="1:18" ht="15.75" customHeight="1" x14ac:dyDescent="0.25">
      <c r="A7" s="1046" t="s">
        <v>5</v>
      </c>
      <c r="B7" s="1047"/>
      <c r="C7" s="1048"/>
      <c r="D7" s="983" t="s">
        <v>78</v>
      </c>
      <c r="E7" s="983"/>
      <c r="F7" s="983"/>
      <c r="G7" s="983"/>
      <c r="H7" s="983"/>
      <c r="I7" s="983"/>
      <c r="J7" s="983"/>
      <c r="K7" s="983"/>
      <c r="L7" s="983"/>
      <c r="M7" s="983"/>
      <c r="N7" s="983"/>
      <c r="O7" s="983"/>
      <c r="P7" s="974" t="s">
        <v>7</v>
      </c>
      <c r="Q7" s="974"/>
      <c r="R7" s="974"/>
    </row>
    <row r="8" spans="1:18" ht="15.75" customHeight="1" x14ac:dyDescent="0.25">
      <c r="A8" s="159" t="s">
        <v>22</v>
      </c>
      <c r="B8" s="159" t="s">
        <v>79</v>
      </c>
      <c r="C8" s="159" t="s">
        <v>80</v>
      </c>
      <c r="D8" s="983" t="s">
        <v>117</v>
      </c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160" t="s">
        <v>8</v>
      </c>
      <c r="Q8" s="160" t="s">
        <v>9</v>
      </c>
      <c r="R8" s="160" t="s">
        <v>10</v>
      </c>
    </row>
    <row r="9" spans="1:18" ht="15.75" customHeight="1" x14ac:dyDescent="0.25">
      <c r="A9" s="161">
        <v>147</v>
      </c>
      <c r="B9" s="161">
        <v>204</v>
      </c>
      <c r="C9" s="162">
        <v>232</v>
      </c>
      <c r="D9" s="983" t="s">
        <v>81</v>
      </c>
      <c r="E9" s="983"/>
      <c r="F9" s="983"/>
      <c r="G9" s="983"/>
      <c r="H9" s="983"/>
      <c r="I9" s="983"/>
      <c r="J9" s="983"/>
      <c r="K9" s="983"/>
      <c r="L9" s="983"/>
      <c r="M9" s="983"/>
      <c r="N9" s="983"/>
      <c r="O9" s="983"/>
      <c r="P9" s="4">
        <v>70</v>
      </c>
      <c r="Q9" s="4">
        <v>100</v>
      </c>
      <c r="R9" s="4">
        <v>170</v>
      </c>
    </row>
    <row r="10" spans="1:18" ht="15.75" customHeight="1" thickBot="1" x14ac:dyDescent="0.25">
      <c r="A10" s="11"/>
      <c r="B10" s="11"/>
      <c r="C10" s="11"/>
      <c r="D10" s="1049" t="s">
        <v>82</v>
      </c>
      <c r="E10" s="1049"/>
      <c r="F10" s="1049"/>
      <c r="G10" s="1049"/>
      <c r="H10" s="1049"/>
      <c r="I10" s="1049"/>
      <c r="J10" s="1049"/>
      <c r="K10" s="1049"/>
      <c r="L10" s="1049"/>
      <c r="M10" s="1049"/>
      <c r="N10" s="1049"/>
      <c r="O10" s="1049"/>
      <c r="P10" s="11"/>
      <c r="Q10" s="11"/>
      <c r="R10" s="11"/>
    </row>
    <row r="11" spans="1:18" ht="15.75" customHeight="1" x14ac:dyDescent="0.25">
      <c r="A11" s="11"/>
      <c r="B11" s="7" t="s">
        <v>13</v>
      </c>
      <c r="C11" s="8"/>
      <c r="D11" s="9"/>
      <c r="E11" s="10">
        <v>44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1"/>
      <c r="Q11" s="11"/>
      <c r="R11" s="11"/>
    </row>
    <row r="12" spans="1:18" ht="15.75" customHeight="1" thickBot="1" x14ac:dyDescent="0.3">
      <c r="A12" s="11"/>
      <c r="B12" s="13" t="s">
        <v>14</v>
      </c>
      <c r="C12" s="14"/>
      <c r="D12" s="15"/>
      <c r="E12" s="16">
        <v>270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1"/>
      <c r="Q12" s="11"/>
      <c r="R12" s="11"/>
    </row>
    <row r="13" spans="1:18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2" customHeight="1" x14ac:dyDescent="0.2">
      <c r="A14" s="1050" t="s">
        <v>15</v>
      </c>
      <c r="B14" s="1052" t="s">
        <v>55</v>
      </c>
      <c r="C14" s="1052"/>
      <c r="D14" s="1052" t="s">
        <v>17</v>
      </c>
      <c r="E14" s="1052" t="s">
        <v>18</v>
      </c>
      <c r="F14" s="1052" t="s">
        <v>19</v>
      </c>
      <c r="G14" s="1053" t="s">
        <v>20</v>
      </c>
      <c r="H14" s="1052" t="s">
        <v>21</v>
      </c>
      <c r="I14" s="1052" t="s">
        <v>22</v>
      </c>
      <c r="J14" s="1052" t="s">
        <v>15</v>
      </c>
      <c r="K14" s="1056" t="s">
        <v>46</v>
      </c>
      <c r="L14" s="1056"/>
      <c r="M14" s="1056" t="s">
        <v>15</v>
      </c>
      <c r="N14" s="1052" t="s">
        <v>83</v>
      </c>
      <c r="O14" s="1052" t="s">
        <v>23</v>
      </c>
      <c r="P14" s="1052" t="s">
        <v>24</v>
      </c>
      <c r="Q14" s="1052" t="s">
        <v>25</v>
      </c>
      <c r="R14" s="1054"/>
    </row>
    <row r="15" spans="1:18" ht="12" customHeight="1" x14ac:dyDescent="0.2">
      <c r="A15" s="1051"/>
      <c r="B15" s="973"/>
      <c r="C15" s="973"/>
      <c r="D15" s="973"/>
      <c r="E15" s="973"/>
      <c r="F15" s="973"/>
      <c r="G15" s="979"/>
      <c r="H15" s="973"/>
      <c r="I15" s="973"/>
      <c r="J15" s="973"/>
      <c r="K15" s="217" t="s">
        <v>84</v>
      </c>
      <c r="L15" s="217" t="s">
        <v>85</v>
      </c>
      <c r="M15" s="1057"/>
      <c r="N15" s="973"/>
      <c r="O15" s="973"/>
      <c r="P15" s="973"/>
      <c r="Q15" s="973"/>
      <c r="R15" s="1055"/>
    </row>
    <row r="16" spans="1:18" s="167" customFormat="1" ht="15.75" customHeight="1" x14ac:dyDescent="0.25">
      <c r="A16" s="39">
        <v>1</v>
      </c>
      <c r="B16" s="423" t="s">
        <v>328</v>
      </c>
      <c r="C16" s="318"/>
      <c r="D16" s="263">
        <v>1990</v>
      </c>
      <c r="E16" s="245" t="s">
        <v>223</v>
      </c>
      <c r="F16" s="245" t="s">
        <v>86</v>
      </c>
      <c r="G16" s="273" t="s">
        <v>31</v>
      </c>
      <c r="H16" s="317">
        <v>62.6</v>
      </c>
      <c r="I16" s="274">
        <v>144</v>
      </c>
      <c r="J16" s="165">
        <v>1</v>
      </c>
      <c r="K16" s="274">
        <v>157</v>
      </c>
      <c r="L16" s="21">
        <f t="shared" ref="L16:L25" si="0">K16/2</f>
        <v>78.5</v>
      </c>
      <c r="M16" s="21">
        <v>2</v>
      </c>
      <c r="N16" s="23">
        <f t="shared" ref="N16:N25" si="1">I16+L16</f>
        <v>222.5</v>
      </c>
      <c r="O16" s="166">
        <v>20</v>
      </c>
      <c r="P16" s="244" t="s">
        <v>10</v>
      </c>
      <c r="Q16" s="229" t="s">
        <v>329</v>
      </c>
      <c r="R16" s="367"/>
    </row>
    <row r="17" spans="1:18" s="167" customFormat="1" ht="15.75" customHeight="1" x14ac:dyDescent="0.25">
      <c r="A17" s="39">
        <f t="shared" ref="A17:A24" si="2">A16+1</f>
        <v>2</v>
      </c>
      <c r="B17" s="423" t="s">
        <v>330</v>
      </c>
      <c r="C17" s="318"/>
      <c r="D17" s="356">
        <v>1989</v>
      </c>
      <c r="E17" s="244" t="s">
        <v>10</v>
      </c>
      <c r="F17" s="244" t="s">
        <v>495</v>
      </c>
      <c r="G17" s="274" t="s">
        <v>31</v>
      </c>
      <c r="H17" s="317">
        <v>62.35</v>
      </c>
      <c r="I17" s="274">
        <v>112</v>
      </c>
      <c r="J17" s="20">
        <v>2</v>
      </c>
      <c r="K17" s="274">
        <v>164</v>
      </c>
      <c r="L17" s="21">
        <f t="shared" si="0"/>
        <v>82</v>
      </c>
      <c r="M17" s="20">
        <v>1</v>
      </c>
      <c r="N17" s="23">
        <f t="shared" si="1"/>
        <v>194</v>
      </c>
      <c r="O17" s="39">
        <v>18</v>
      </c>
      <c r="P17" s="244" t="s">
        <v>10</v>
      </c>
      <c r="Q17" s="406" t="s">
        <v>332</v>
      </c>
      <c r="R17" s="367"/>
    </row>
    <row r="18" spans="1:18" s="167" customFormat="1" ht="15.75" customHeight="1" x14ac:dyDescent="0.25">
      <c r="A18" s="39">
        <f t="shared" si="2"/>
        <v>3</v>
      </c>
      <c r="B18" s="422" t="s">
        <v>88</v>
      </c>
      <c r="C18" s="318"/>
      <c r="D18" s="263">
        <v>1997</v>
      </c>
      <c r="E18" s="244" t="s">
        <v>9</v>
      </c>
      <c r="F18" s="526" t="s">
        <v>132</v>
      </c>
      <c r="G18" s="245" t="s">
        <v>37</v>
      </c>
      <c r="H18" s="398">
        <v>62.8</v>
      </c>
      <c r="I18" s="274">
        <v>99</v>
      </c>
      <c r="J18" s="20">
        <v>3</v>
      </c>
      <c r="K18" s="274">
        <v>142</v>
      </c>
      <c r="L18" s="21">
        <f t="shared" si="0"/>
        <v>71</v>
      </c>
      <c r="M18" s="20">
        <v>3</v>
      </c>
      <c r="N18" s="23">
        <f t="shared" si="1"/>
        <v>170</v>
      </c>
      <c r="O18" s="39">
        <v>16</v>
      </c>
      <c r="P18" s="244" t="s">
        <v>10</v>
      </c>
      <c r="Q18" s="229" t="s">
        <v>89</v>
      </c>
      <c r="R18" s="367"/>
    </row>
    <row r="19" spans="1:18" s="167" customFormat="1" ht="15.75" customHeight="1" x14ac:dyDescent="0.25">
      <c r="A19" s="39">
        <f t="shared" si="2"/>
        <v>4</v>
      </c>
      <c r="B19" s="423" t="s">
        <v>334</v>
      </c>
      <c r="C19" s="318"/>
      <c r="D19" s="356">
        <v>1985</v>
      </c>
      <c r="E19" s="244" t="s">
        <v>10</v>
      </c>
      <c r="F19" s="244" t="s">
        <v>493</v>
      </c>
      <c r="G19" s="274"/>
      <c r="H19" s="317">
        <v>62.7</v>
      </c>
      <c r="I19" s="274">
        <v>90</v>
      </c>
      <c r="J19" s="20">
        <v>5</v>
      </c>
      <c r="K19" s="274">
        <v>121</v>
      </c>
      <c r="L19" s="21">
        <f t="shared" si="0"/>
        <v>60.5</v>
      </c>
      <c r="M19" s="20">
        <v>4</v>
      </c>
      <c r="N19" s="23">
        <f t="shared" si="1"/>
        <v>150.5</v>
      </c>
      <c r="O19" s="39">
        <v>15</v>
      </c>
      <c r="P19" s="244" t="s">
        <v>9</v>
      </c>
      <c r="Q19" s="318" t="s">
        <v>87</v>
      </c>
      <c r="R19" s="367"/>
    </row>
    <row r="20" spans="1:18" s="167" customFormat="1" ht="23.25" customHeight="1" x14ac:dyDescent="0.25">
      <c r="A20" s="39">
        <f t="shared" si="2"/>
        <v>5</v>
      </c>
      <c r="B20" s="422" t="s">
        <v>335</v>
      </c>
      <c r="C20" s="318"/>
      <c r="D20" s="263">
        <v>1995</v>
      </c>
      <c r="E20" s="244" t="s">
        <v>9</v>
      </c>
      <c r="F20" s="244" t="s">
        <v>489</v>
      </c>
      <c r="G20" s="88" t="s">
        <v>121</v>
      </c>
      <c r="H20" s="91">
        <v>63</v>
      </c>
      <c r="I20" s="274">
        <v>99</v>
      </c>
      <c r="J20" s="20">
        <v>4</v>
      </c>
      <c r="K20" s="274">
        <v>100</v>
      </c>
      <c r="L20" s="21">
        <f t="shared" si="0"/>
        <v>50</v>
      </c>
      <c r="M20" s="20">
        <v>8</v>
      </c>
      <c r="N20" s="23">
        <f t="shared" si="1"/>
        <v>149</v>
      </c>
      <c r="O20" s="23">
        <v>14</v>
      </c>
      <c r="P20" s="244" t="s">
        <v>9</v>
      </c>
      <c r="Q20" s="318" t="s">
        <v>29</v>
      </c>
      <c r="R20" s="367"/>
    </row>
    <row r="21" spans="1:18" s="167" customFormat="1" ht="15.75" customHeight="1" x14ac:dyDescent="0.25">
      <c r="A21" s="39">
        <f t="shared" si="2"/>
        <v>6</v>
      </c>
      <c r="B21" s="565" t="s">
        <v>406</v>
      </c>
      <c r="C21" s="565"/>
      <c r="D21" s="511">
        <v>1993</v>
      </c>
      <c r="E21" s="511" t="s">
        <v>9</v>
      </c>
      <c r="F21" s="244" t="s">
        <v>493</v>
      </c>
      <c r="G21" s="28"/>
      <c r="H21" s="472">
        <v>63</v>
      </c>
      <c r="I21" s="28">
        <v>70</v>
      </c>
      <c r="J21" s="20">
        <v>7</v>
      </c>
      <c r="K21" s="28">
        <v>113</v>
      </c>
      <c r="L21" s="21">
        <f t="shared" si="0"/>
        <v>56.5</v>
      </c>
      <c r="M21" s="20">
        <v>5</v>
      </c>
      <c r="N21" s="23">
        <f t="shared" si="1"/>
        <v>126.5</v>
      </c>
      <c r="O21" s="23">
        <v>13</v>
      </c>
      <c r="P21" s="244" t="s">
        <v>9</v>
      </c>
      <c r="Q21" s="565" t="s">
        <v>314</v>
      </c>
      <c r="R21" s="321"/>
    </row>
    <row r="22" spans="1:18" s="167" customFormat="1" ht="21.75" customHeight="1" x14ac:dyDescent="0.25">
      <c r="A22" s="349">
        <f t="shared" si="2"/>
        <v>7</v>
      </c>
      <c r="B22" s="422" t="s">
        <v>333</v>
      </c>
      <c r="C22" s="423"/>
      <c r="D22" s="496">
        <v>1990</v>
      </c>
      <c r="E22" s="496" t="s">
        <v>9</v>
      </c>
      <c r="F22" s="566" t="s">
        <v>125</v>
      </c>
      <c r="G22" s="21" t="s">
        <v>30</v>
      </c>
      <c r="H22" s="470">
        <v>62.35</v>
      </c>
      <c r="I22" s="20">
        <v>75</v>
      </c>
      <c r="J22" s="165">
        <v>6</v>
      </c>
      <c r="K22" s="20">
        <v>101</v>
      </c>
      <c r="L22" s="21">
        <f t="shared" si="0"/>
        <v>50.5</v>
      </c>
      <c r="M22" s="21">
        <v>7</v>
      </c>
      <c r="N22" s="23">
        <f t="shared" si="1"/>
        <v>125.5</v>
      </c>
      <c r="O22" s="39">
        <v>12</v>
      </c>
      <c r="P22" s="244" t="s">
        <v>9</v>
      </c>
      <c r="Q22" s="423" t="s">
        <v>126</v>
      </c>
      <c r="R22" s="218"/>
    </row>
    <row r="23" spans="1:18" s="171" customFormat="1" ht="21" customHeight="1" x14ac:dyDescent="0.25">
      <c r="A23" s="349">
        <f t="shared" si="2"/>
        <v>8</v>
      </c>
      <c r="B23" s="565" t="s">
        <v>414</v>
      </c>
      <c r="C23" s="321"/>
      <c r="D23" s="535">
        <v>1985</v>
      </c>
      <c r="E23" s="473" t="s">
        <v>8</v>
      </c>
      <c r="F23" s="245" t="s">
        <v>149</v>
      </c>
      <c r="G23" s="28"/>
      <c r="H23" s="472">
        <v>63</v>
      </c>
      <c r="I23" s="28">
        <v>55</v>
      </c>
      <c r="J23" s="165">
        <v>8</v>
      </c>
      <c r="K23" s="28">
        <v>112</v>
      </c>
      <c r="L23" s="21">
        <f t="shared" si="0"/>
        <v>56</v>
      </c>
      <c r="M23" s="21">
        <v>6</v>
      </c>
      <c r="N23" s="23">
        <f t="shared" si="1"/>
        <v>111</v>
      </c>
      <c r="O23" s="166">
        <v>11</v>
      </c>
      <c r="P23" s="244" t="s">
        <v>443</v>
      </c>
      <c r="Q23" s="565" t="s">
        <v>415</v>
      </c>
      <c r="R23" s="218"/>
    </row>
    <row r="24" spans="1:18" s="171" customFormat="1" ht="21" customHeight="1" x14ac:dyDescent="0.25">
      <c r="A24" s="349">
        <f t="shared" si="2"/>
        <v>9</v>
      </c>
      <c r="B24" s="565" t="s">
        <v>408</v>
      </c>
      <c r="C24" s="321"/>
      <c r="D24" s="511">
        <v>1998</v>
      </c>
      <c r="E24" s="511">
        <v>1</v>
      </c>
      <c r="F24" s="244" t="s">
        <v>493</v>
      </c>
      <c r="G24" s="28"/>
      <c r="H24" s="472">
        <v>62.95</v>
      </c>
      <c r="I24" s="28">
        <v>40</v>
      </c>
      <c r="J24" s="20">
        <v>10</v>
      </c>
      <c r="K24" s="28">
        <v>67</v>
      </c>
      <c r="L24" s="21">
        <f t="shared" si="0"/>
        <v>33.5</v>
      </c>
      <c r="M24" s="20">
        <v>9</v>
      </c>
      <c r="N24" s="23">
        <f t="shared" si="1"/>
        <v>73.5</v>
      </c>
      <c r="O24" s="23">
        <v>10</v>
      </c>
      <c r="P24" s="473" t="s">
        <v>8</v>
      </c>
      <c r="Q24" s="565" t="s">
        <v>324</v>
      </c>
      <c r="R24" s="321"/>
    </row>
    <row r="25" spans="1:18" s="167" customFormat="1" ht="15.75" customHeight="1" x14ac:dyDescent="0.25">
      <c r="A25" s="39">
        <v>10</v>
      </c>
      <c r="B25" s="565" t="s">
        <v>411</v>
      </c>
      <c r="C25" s="321"/>
      <c r="D25" s="511">
        <v>1995</v>
      </c>
      <c r="E25" s="511">
        <v>1</v>
      </c>
      <c r="F25" s="244" t="s">
        <v>493</v>
      </c>
      <c r="G25" s="28"/>
      <c r="H25" s="567">
        <v>62.45</v>
      </c>
      <c r="I25" s="28">
        <v>51</v>
      </c>
      <c r="J25" s="20">
        <v>9</v>
      </c>
      <c r="K25" s="28">
        <v>44</v>
      </c>
      <c r="L25" s="21">
        <f t="shared" si="0"/>
        <v>22</v>
      </c>
      <c r="M25" s="20">
        <v>10</v>
      </c>
      <c r="N25" s="23">
        <f t="shared" si="1"/>
        <v>73</v>
      </c>
      <c r="O25" s="23">
        <v>9</v>
      </c>
      <c r="P25" s="473" t="s">
        <v>8</v>
      </c>
      <c r="Q25" s="565" t="s">
        <v>496</v>
      </c>
      <c r="R25" s="321"/>
    </row>
    <row r="26" spans="1:18" s="442" customFormat="1" ht="15.75" customHeight="1" x14ac:dyDescent="0.25">
      <c r="A26" s="173"/>
      <c r="B26" s="183"/>
      <c r="C26" s="431"/>
      <c r="D26" s="436"/>
      <c r="E26" s="437"/>
      <c r="F26" s="437"/>
      <c r="G26" s="438"/>
      <c r="H26" s="439"/>
      <c r="I26" s="440"/>
      <c r="J26" s="209"/>
      <c r="K26" s="440"/>
      <c r="L26" s="323"/>
      <c r="M26" s="209"/>
      <c r="N26" s="364"/>
      <c r="O26" s="364"/>
      <c r="P26" s="170"/>
      <c r="Q26" s="431"/>
      <c r="R26" s="441"/>
    </row>
    <row r="27" spans="1:18" ht="13.5" x14ac:dyDescent="0.25">
      <c r="A27" s="214" t="s">
        <v>480</v>
      </c>
      <c r="B27" s="210"/>
      <c r="C27" s="210"/>
      <c r="D27" s="210"/>
      <c r="E27" s="210"/>
      <c r="F27" s="210"/>
      <c r="G27" s="210"/>
      <c r="H27" s="214" t="s">
        <v>40</v>
      </c>
      <c r="J27" s="17"/>
      <c r="K27" s="205"/>
      <c r="M27" s="475" t="s">
        <v>479</v>
      </c>
      <c r="N27" s="205"/>
      <c r="O27" s="517"/>
      <c r="P27" s="517"/>
      <c r="Q27" s="517"/>
      <c r="R27" s="517"/>
    </row>
    <row r="28" spans="1:18" ht="13.5" x14ac:dyDescent="0.25">
      <c r="A28" s="214"/>
      <c r="B28" s="383"/>
      <c r="C28" s="205"/>
      <c r="D28" s="17"/>
      <c r="E28" s="17"/>
      <c r="F28" s="17"/>
      <c r="G28" s="17"/>
      <c r="H28" s="214"/>
      <c r="J28" s="17"/>
      <c r="K28" s="205"/>
      <c r="L28" s="476"/>
      <c r="M28" s="17"/>
      <c r="N28" s="17"/>
    </row>
    <row r="29" spans="1:18" ht="13.5" x14ac:dyDescent="0.25">
      <c r="A29" s="214" t="s">
        <v>491</v>
      </c>
      <c r="B29" s="210"/>
      <c r="C29" s="210"/>
      <c r="D29" s="210"/>
      <c r="E29" s="210"/>
      <c r="F29" s="210"/>
      <c r="G29" s="210"/>
      <c r="H29" s="214" t="s">
        <v>41</v>
      </c>
      <c r="J29" s="210"/>
      <c r="M29" s="477" t="s">
        <v>481</v>
      </c>
      <c r="N29" s="205"/>
      <c r="O29" s="210"/>
      <c r="P29" s="210"/>
      <c r="Q29" s="210"/>
      <c r="R29" s="210"/>
    </row>
    <row r="31" spans="1:18" ht="15.75" x14ac:dyDescent="0.25">
      <c r="B31" s="36"/>
      <c r="I31" s="101"/>
      <c r="J31" s="36"/>
      <c r="K31" s="36"/>
      <c r="L31" s="101"/>
      <c r="M31" s="101"/>
      <c r="O31" s="101"/>
      <c r="P31" s="101"/>
      <c r="Q31" s="185"/>
      <c r="R31" s="17"/>
    </row>
    <row r="32" spans="1:18" ht="15.75" x14ac:dyDescent="0.25">
      <c r="I32" s="101"/>
      <c r="J32" s="101"/>
      <c r="K32" s="101"/>
      <c r="L32" s="101"/>
      <c r="M32" s="101"/>
      <c r="N32" s="101"/>
      <c r="O32" s="101"/>
      <c r="P32" s="101"/>
      <c r="Q32" s="185"/>
      <c r="R32" s="17"/>
    </row>
    <row r="33" spans="9:18" ht="15.75" x14ac:dyDescent="0.25">
      <c r="I33" s="101"/>
      <c r="J33" s="36"/>
      <c r="K33" s="36"/>
      <c r="L33" s="101"/>
      <c r="M33" s="101"/>
      <c r="O33" s="101"/>
      <c r="P33" s="101"/>
      <c r="Q33" s="185"/>
      <c r="R33" s="17"/>
    </row>
  </sheetData>
  <sheetProtection selectLockedCells="1" selectUnlockedCells="1"/>
  <mergeCells count="30">
    <mergeCell ref="P14:P15"/>
    <mergeCell ref="Q14:R15"/>
    <mergeCell ref="I14:I15"/>
    <mergeCell ref="J14:J15"/>
    <mergeCell ref="K14:L14"/>
    <mergeCell ref="M14:M15"/>
    <mergeCell ref="N14:N15"/>
    <mergeCell ref="O14:O15"/>
    <mergeCell ref="D8:O8"/>
    <mergeCell ref="D9:O9"/>
    <mergeCell ref="D10:O10"/>
    <mergeCell ref="A14:A15"/>
    <mergeCell ref="B14:C15"/>
    <mergeCell ref="D14:D15"/>
    <mergeCell ref="E14:E15"/>
    <mergeCell ref="F14:F15"/>
    <mergeCell ref="G14:G15"/>
    <mergeCell ref="H14:H15"/>
    <mergeCell ref="A6:C6"/>
    <mergeCell ref="D6:O6"/>
    <mergeCell ref="P6:R6"/>
    <mergeCell ref="A7:C7"/>
    <mergeCell ref="D7:O7"/>
    <mergeCell ref="P7:R7"/>
    <mergeCell ref="A5:C5"/>
    <mergeCell ref="P5:R5"/>
    <mergeCell ref="A1:R1"/>
    <mergeCell ref="A2:R2"/>
    <mergeCell ref="A3:R3"/>
    <mergeCell ref="A4:R4"/>
  </mergeCells>
  <phoneticPr fontId="33" type="noConversion"/>
  <pageMargins left="7.874015748031496E-2" right="0.11811023622047245" top="0.23622047244094491" bottom="0.39370078740157483" header="0.51181102362204722" footer="0.51181102362204722"/>
  <pageSetup paperSize="9" scale="90" firstPageNumber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showWhiteSpace="0" topLeftCell="A4" zoomScaleNormal="110" zoomScaleSheetLayoutView="100" zoomScalePageLayoutView="85" workbookViewId="0">
      <selection activeCell="A9" sqref="A9"/>
    </sheetView>
  </sheetViews>
  <sheetFormatPr defaultRowHeight="12.75" x14ac:dyDescent="0.2"/>
  <cols>
    <col min="1" max="1" width="6.7109375" style="416" customWidth="1"/>
    <col min="2" max="2" width="7.85546875" style="167" customWidth="1"/>
    <col min="3" max="3" width="17.42578125" customWidth="1"/>
    <col min="4" max="4" width="8.85546875" customWidth="1"/>
    <col min="5" max="5" width="6.7109375" customWidth="1"/>
    <col min="6" max="6" width="20.7109375" customWidth="1"/>
    <col min="7" max="7" width="9.7109375" customWidth="1"/>
    <col min="8" max="8" width="6.5703125" customWidth="1"/>
    <col min="9" max="13" width="5.85546875" customWidth="1"/>
    <col min="14" max="14" width="7.42578125" customWidth="1"/>
    <col min="15" max="15" width="5.85546875" customWidth="1"/>
    <col min="16" max="16" width="6.85546875" customWidth="1"/>
    <col min="17" max="17" width="10.140625" customWidth="1"/>
    <col min="18" max="18" width="16.7109375" customWidth="1"/>
  </cols>
  <sheetData>
    <row r="1" spans="1:18" ht="15.75" customHeight="1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</row>
    <row r="2" spans="1:18" ht="15.75" customHeight="1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</row>
    <row r="3" spans="1:18" ht="15.75" customHeight="1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</row>
    <row r="4" spans="1:18" ht="15.75" customHeight="1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7"/>
      <c r="R4" s="987"/>
    </row>
    <row r="5" spans="1:18" ht="12" customHeight="1" x14ac:dyDescent="0.25">
      <c r="A5" s="970" t="s">
        <v>112</v>
      </c>
      <c r="B5" s="970"/>
      <c r="C5" s="970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970" t="s">
        <v>2</v>
      </c>
      <c r="Q5" s="1043"/>
      <c r="R5" s="1043"/>
    </row>
    <row r="6" spans="1:18" ht="15.75" customHeight="1" x14ac:dyDescent="0.25">
      <c r="A6" s="988" t="s">
        <v>457</v>
      </c>
      <c r="B6" s="988"/>
      <c r="C6" s="989"/>
      <c r="D6" s="983" t="s">
        <v>77</v>
      </c>
      <c r="E6" s="1043"/>
      <c r="F6" s="1043"/>
      <c r="G6" s="1043"/>
      <c r="H6" s="1043"/>
      <c r="I6" s="1043"/>
      <c r="J6" s="1043"/>
      <c r="K6" s="1043"/>
      <c r="L6" s="1043"/>
      <c r="M6" s="1043"/>
      <c r="N6" s="1043"/>
      <c r="O6" s="1043"/>
      <c r="P6" s="1044" t="s">
        <v>4</v>
      </c>
      <c r="Q6" s="1045"/>
      <c r="R6" s="1045"/>
    </row>
    <row r="7" spans="1:18" ht="15.75" customHeight="1" x14ac:dyDescent="0.25">
      <c r="A7" s="1046" t="s">
        <v>5</v>
      </c>
      <c r="B7" s="1047"/>
      <c r="C7" s="1048"/>
      <c r="D7" s="983" t="s">
        <v>78</v>
      </c>
      <c r="E7" s="983"/>
      <c r="F7" s="983"/>
      <c r="G7" s="983"/>
      <c r="H7" s="983"/>
      <c r="I7" s="983"/>
      <c r="J7" s="983"/>
      <c r="K7" s="983"/>
      <c r="L7" s="983"/>
      <c r="M7" s="983"/>
      <c r="N7" s="983"/>
      <c r="O7" s="983"/>
      <c r="P7" s="974" t="s">
        <v>7</v>
      </c>
      <c r="Q7" s="974"/>
      <c r="R7" s="974"/>
    </row>
    <row r="8" spans="1:18" ht="15.75" customHeight="1" x14ac:dyDescent="0.25">
      <c r="A8" s="160" t="s">
        <v>22</v>
      </c>
      <c r="B8" s="414" t="s">
        <v>79</v>
      </c>
      <c r="C8" s="159" t="s">
        <v>80</v>
      </c>
      <c r="D8" s="983" t="s">
        <v>117</v>
      </c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160" t="s">
        <v>8</v>
      </c>
      <c r="Q8" s="160" t="s">
        <v>9</v>
      </c>
      <c r="R8" s="160" t="s">
        <v>10</v>
      </c>
    </row>
    <row r="9" spans="1:18" ht="15.75" customHeight="1" x14ac:dyDescent="0.25">
      <c r="A9" s="359">
        <v>141</v>
      </c>
      <c r="B9" s="361">
        <v>182</v>
      </c>
      <c r="C9" s="360">
        <v>229</v>
      </c>
      <c r="D9" s="983" t="s">
        <v>81</v>
      </c>
      <c r="E9" s="983"/>
      <c r="F9" s="983"/>
      <c r="G9" s="983"/>
      <c r="H9" s="983"/>
      <c r="I9" s="983"/>
      <c r="J9" s="983"/>
      <c r="K9" s="983"/>
      <c r="L9" s="983"/>
      <c r="M9" s="983"/>
      <c r="N9" s="983"/>
      <c r="O9" s="983"/>
      <c r="P9" s="4">
        <v>78</v>
      </c>
      <c r="Q9" s="4">
        <v>115</v>
      </c>
      <c r="R9" s="4">
        <v>185</v>
      </c>
    </row>
    <row r="10" spans="1:18" ht="15.75" customHeight="1" thickBot="1" x14ac:dyDescent="0.25">
      <c r="A10" s="11"/>
      <c r="B10" s="173"/>
      <c r="C10" s="11"/>
      <c r="D10" s="1049" t="s">
        <v>118</v>
      </c>
      <c r="E10" s="1049"/>
      <c r="F10" s="1049"/>
      <c r="G10" s="1049"/>
      <c r="H10" s="1049"/>
      <c r="I10" s="1049"/>
      <c r="J10" s="1049"/>
      <c r="K10" s="1049"/>
      <c r="L10" s="1049"/>
      <c r="M10" s="1049"/>
      <c r="N10" s="1049"/>
      <c r="O10" s="1049"/>
      <c r="P10" s="11"/>
      <c r="Q10" s="11"/>
      <c r="R10" s="11"/>
    </row>
    <row r="11" spans="1:18" ht="15.75" customHeight="1" x14ac:dyDescent="0.25">
      <c r="A11" s="11"/>
      <c r="B11" s="385" t="s">
        <v>13</v>
      </c>
      <c r="C11" s="8"/>
      <c r="D11" s="9"/>
      <c r="E11" s="10">
        <v>44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1"/>
      <c r="Q11" s="11"/>
      <c r="R11" s="11"/>
    </row>
    <row r="12" spans="1:18" ht="15.75" customHeight="1" thickBot="1" x14ac:dyDescent="0.3">
      <c r="A12" s="11"/>
      <c r="B12" s="386" t="s">
        <v>14</v>
      </c>
      <c r="C12" s="14"/>
      <c r="D12" s="15"/>
      <c r="E12" s="16">
        <v>270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1"/>
      <c r="Q12" s="11"/>
      <c r="R12" s="11"/>
    </row>
    <row r="13" spans="1:18" x14ac:dyDescent="0.2">
      <c r="A13" s="42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2" customHeight="1" x14ac:dyDescent="0.2">
      <c r="A14" s="1058" t="s">
        <v>15</v>
      </c>
      <c r="B14" s="972" t="s">
        <v>55</v>
      </c>
      <c r="C14" s="972"/>
      <c r="D14" s="972" t="s">
        <v>17</v>
      </c>
      <c r="E14" s="972" t="s">
        <v>18</v>
      </c>
      <c r="F14" s="972" t="s">
        <v>19</v>
      </c>
      <c r="G14" s="973" t="s">
        <v>20</v>
      </c>
      <c r="H14" s="972" t="s">
        <v>21</v>
      </c>
      <c r="I14" s="972" t="s">
        <v>22</v>
      </c>
      <c r="J14" s="972" t="s">
        <v>15</v>
      </c>
      <c r="K14" s="1059" t="s">
        <v>46</v>
      </c>
      <c r="L14" s="1059"/>
      <c r="M14" s="1059" t="s">
        <v>15</v>
      </c>
      <c r="N14" s="972" t="s">
        <v>83</v>
      </c>
      <c r="O14" s="972" t="s">
        <v>23</v>
      </c>
      <c r="P14" s="972" t="s">
        <v>24</v>
      </c>
      <c r="Q14" s="972" t="s">
        <v>25</v>
      </c>
      <c r="R14" s="972"/>
    </row>
    <row r="15" spans="1:18" ht="12" customHeight="1" x14ac:dyDescent="0.2">
      <c r="A15" s="1058"/>
      <c r="B15" s="973"/>
      <c r="C15" s="973"/>
      <c r="D15" s="973"/>
      <c r="E15" s="973"/>
      <c r="F15" s="973"/>
      <c r="G15" s="979"/>
      <c r="H15" s="973"/>
      <c r="I15" s="973"/>
      <c r="J15" s="973"/>
      <c r="K15" s="217" t="s">
        <v>84</v>
      </c>
      <c r="L15" s="217" t="s">
        <v>85</v>
      </c>
      <c r="M15" s="1057"/>
      <c r="N15" s="973"/>
      <c r="O15" s="973"/>
      <c r="P15" s="973"/>
      <c r="Q15" s="973"/>
      <c r="R15" s="973"/>
    </row>
    <row r="16" spans="1:18" s="167" customFormat="1" ht="22.5" customHeight="1" x14ac:dyDescent="0.25">
      <c r="A16" s="18">
        <v>1</v>
      </c>
      <c r="B16" s="388" t="s">
        <v>28</v>
      </c>
      <c r="C16" s="242"/>
      <c r="D16" s="584">
        <v>1999</v>
      </c>
      <c r="E16" s="586" t="s">
        <v>9</v>
      </c>
      <c r="F16" s="244" t="s">
        <v>489</v>
      </c>
      <c r="G16" s="311" t="s">
        <v>121</v>
      </c>
      <c r="H16" s="91">
        <v>67.900000000000006</v>
      </c>
      <c r="I16" s="244">
        <v>132</v>
      </c>
      <c r="J16" s="578">
        <v>1</v>
      </c>
      <c r="K16" s="244">
        <v>171</v>
      </c>
      <c r="L16" s="471">
        <f t="shared" ref="L16:L27" si="0">K16/2</f>
        <v>85.5</v>
      </c>
      <c r="M16" s="578">
        <v>1</v>
      </c>
      <c r="N16" s="471">
        <f t="shared" ref="N16:N27" si="1">I16+L16</f>
        <v>217.5</v>
      </c>
      <c r="O16" s="578">
        <v>20</v>
      </c>
      <c r="P16" s="505" t="s">
        <v>10</v>
      </c>
      <c r="Q16" s="232" t="s">
        <v>29</v>
      </c>
      <c r="R16" s="272"/>
    </row>
    <row r="17" spans="1:18" s="167" customFormat="1" ht="17.25" customHeight="1" x14ac:dyDescent="0.25">
      <c r="A17" s="18">
        <f t="shared" ref="A17:A26" si="2">A16+1</f>
        <v>2</v>
      </c>
      <c r="B17" s="489" t="s">
        <v>94</v>
      </c>
      <c r="C17" s="478"/>
      <c r="D17" s="480">
        <v>1986</v>
      </c>
      <c r="E17" s="505" t="s">
        <v>10</v>
      </c>
      <c r="F17" s="469" t="s">
        <v>33</v>
      </c>
      <c r="G17" s="53" t="s">
        <v>336</v>
      </c>
      <c r="H17" s="468">
        <v>67.7</v>
      </c>
      <c r="I17" s="469">
        <v>124</v>
      </c>
      <c r="J17" s="578">
        <v>4</v>
      </c>
      <c r="K17" s="469">
        <v>169</v>
      </c>
      <c r="L17" s="471">
        <f t="shared" si="0"/>
        <v>84.5</v>
      </c>
      <c r="M17" s="578">
        <v>2</v>
      </c>
      <c r="N17" s="471">
        <f t="shared" si="1"/>
        <v>208.5</v>
      </c>
      <c r="O17" s="578">
        <v>18</v>
      </c>
      <c r="P17" s="505" t="s">
        <v>10</v>
      </c>
      <c r="Q17" s="489" t="s">
        <v>49</v>
      </c>
      <c r="R17" s="44"/>
    </row>
    <row r="18" spans="1:18" s="167" customFormat="1" ht="15.75" customHeight="1" x14ac:dyDescent="0.25">
      <c r="A18" s="18">
        <f t="shared" si="2"/>
        <v>3</v>
      </c>
      <c r="B18" s="390" t="s">
        <v>70</v>
      </c>
      <c r="C18" s="308"/>
      <c r="D18" s="585">
        <v>1992</v>
      </c>
      <c r="E18" s="587" t="s">
        <v>10</v>
      </c>
      <c r="F18" s="588" t="s">
        <v>35</v>
      </c>
      <c r="G18" s="220"/>
      <c r="H18" s="465">
        <v>67.650000000000006</v>
      </c>
      <c r="I18" s="466">
        <v>127</v>
      </c>
      <c r="J18" s="577">
        <v>3</v>
      </c>
      <c r="K18" s="466">
        <v>158</v>
      </c>
      <c r="L18" s="471">
        <f t="shared" si="0"/>
        <v>79</v>
      </c>
      <c r="M18" s="471">
        <v>4</v>
      </c>
      <c r="N18" s="471">
        <f t="shared" si="1"/>
        <v>206</v>
      </c>
      <c r="O18" s="577">
        <v>16</v>
      </c>
      <c r="P18" s="505" t="s">
        <v>10</v>
      </c>
      <c r="Q18" s="550" t="s">
        <v>390</v>
      </c>
      <c r="R18" s="589"/>
    </row>
    <row r="19" spans="1:18" s="167" customFormat="1" ht="15.75" customHeight="1" x14ac:dyDescent="0.25">
      <c r="A19" s="18">
        <f t="shared" si="2"/>
        <v>4</v>
      </c>
      <c r="B19" s="390" t="s">
        <v>339</v>
      </c>
      <c r="C19" s="225"/>
      <c r="D19" s="356">
        <v>1992</v>
      </c>
      <c r="E19" s="244" t="s">
        <v>10</v>
      </c>
      <c r="F19" s="244" t="s">
        <v>493</v>
      </c>
      <c r="G19" s="591"/>
      <c r="H19" s="592">
        <v>67.95</v>
      </c>
      <c r="I19" s="228">
        <v>101</v>
      </c>
      <c r="J19" s="578">
        <v>6</v>
      </c>
      <c r="K19" s="228">
        <v>169</v>
      </c>
      <c r="L19" s="471">
        <f t="shared" si="0"/>
        <v>84.5</v>
      </c>
      <c r="M19" s="578">
        <v>3</v>
      </c>
      <c r="N19" s="471">
        <f t="shared" si="1"/>
        <v>185.5</v>
      </c>
      <c r="O19" s="471">
        <v>15</v>
      </c>
      <c r="P19" s="505" t="s">
        <v>10</v>
      </c>
      <c r="Q19" s="355" t="s">
        <v>521</v>
      </c>
      <c r="R19" s="340"/>
    </row>
    <row r="20" spans="1:18" s="167" customFormat="1" ht="15.75" customHeight="1" x14ac:dyDescent="0.25">
      <c r="A20" s="18">
        <f t="shared" si="2"/>
        <v>5</v>
      </c>
      <c r="B20" s="489" t="s">
        <v>337</v>
      </c>
      <c r="C20" s="478"/>
      <c r="D20" s="505">
        <v>1989</v>
      </c>
      <c r="E20" s="505" t="s">
        <v>10</v>
      </c>
      <c r="F20" s="509" t="s">
        <v>27</v>
      </c>
      <c r="G20" s="40"/>
      <c r="H20" s="504">
        <v>67.95</v>
      </c>
      <c r="I20" s="593">
        <v>130</v>
      </c>
      <c r="J20" s="577">
        <v>2</v>
      </c>
      <c r="K20" s="505">
        <v>110</v>
      </c>
      <c r="L20" s="471">
        <f t="shared" si="0"/>
        <v>55</v>
      </c>
      <c r="M20" s="471">
        <v>8</v>
      </c>
      <c r="N20" s="471">
        <f t="shared" si="1"/>
        <v>185</v>
      </c>
      <c r="O20" s="578">
        <v>14</v>
      </c>
      <c r="P20" s="586" t="s">
        <v>9</v>
      </c>
      <c r="Q20" s="534" t="s">
        <v>345</v>
      </c>
      <c r="R20" s="344"/>
    </row>
    <row r="21" spans="1:18" s="167" customFormat="1" ht="15.75" customHeight="1" x14ac:dyDescent="0.25">
      <c r="A21" s="18">
        <f t="shared" si="2"/>
        <v>6</v>
      </c>
      <c r="B21" s="390" t="s">
        <v>338</v>
      </c>
      <c r="C21" s="308"/>
      <c r="D21" s="480">
        <v>1992</v>
      </c>
      <c r="E21" s="469" t="s">
        <v>10</v>
      </c>
      <c r="F21" s="590" t="s">
        <v>27</v>
      </c>
      <c r="G21" s="354"/>
      <c r="H21" s="561">
        <v>67.95</v>
      </c>
      <c r="I21" s="467">
        <v>113</v>
      </c>
      <c r="J21" s="578">
        <v>5</v>
      </c>
      <c r="K21" s="467">
        <v>133</v>
      </c>
      <c r="L21" s="471">
        <f t="shared" si="0"/>
        <v>66.5</v>
      </c>
      <c r="M21" s="578">
        <v>7</v>
      </c>
      <c r="N21" s="471">
        <f t="shared" si="1"/>
        <v>179.5</v>
      </c>
      <c r="O21" s="578">
        <v>13</v>
      </c>
      <c r="P21" s="586" t="s">
        <v>9</v>
      </c>
      <c r="Q21" s="594" t="s">
        <v>346</v>
      </c>
      <c r="R21" s="44"/>
    </row>
    <row r="22" spans="1:18" s="167" customFormat="1" ht="16.5" customHeight="1" x14ac:dyDescent="0.25">
      <c r="A22" s="164">
        <f t="shared" si="2"/>
        <v>7</v>
      </c>
      <c r="B22" s="390" t="s">
        <v>342</v>
      </c>
      <c r="C22" s="225"/>
      <c r="D22" s="283">
        <v>1980</v>
      </c>
      <c r="E22" s="402" t="s">
        <v>10</v>
      </c>
      <c r="F22" s="228" t="s">
        <v>493</v>
      </c>
      <c r="G22" s="343"/>
      <c r="H22" s="579">
        <v>67.8</v>
      </c>
      <c r="I22" s="228">
        <v>89</v>
      </c>
      <c r="J22" s="577">
        <v>7</v>
      </c>
      <c r="K22" s="228">
        <v>154</v>
      </c>
      <c r="L22" s="471">
        <f t="shared" si="0"/>
        <v>77</v>
      </c>
      <c r="M22" s="471">
        <v>6</v>
      </c>
      <c r="N22" s="471">
        <f t="shared" si="1"/>
        <v>166</v>
      </c>
      <c r="O22" s="577">
        <v>12</v>
      </c>
      <c r="P22" s="586" t="s">
        <v>9</v>
      </c>
      <c r="Q22" s="342" t="s">
        <v>114</v>
      </c>
      <c r="R22" s="346"/>
    </row>
    <row r="23" spans="1:18" s="171" customFormat="1" ht="16.5" customHeight="1" x14ac:dyDescent="0.25">
      <c r="A23" s="164">
        <f t="shared" si="2"/>
        <v>8</v>
      </c>
      <c r="B23" s="390" t="s">
        <v>341</v>
      </c>
      <c r="C23" s="225"/>
      <c r="D23" s="161">
        <v>1988</v>
      </c>
      <c r="E23" s="161" t="s">
        <v>9</v>
      </c>
      <c r="F23" s="231" t="s">
        <v>497</v>
      </c>
      <c r="G23" s="296"/>
      <c r="H23" s="579">
        <v>67.25</v>
      </c>
      <c r="I23" s="228">
        <v>80</v>
      </c>
      <c r="J23" s="471">
        <v>8</v>
      </c>
      <c r="K23" s="228">
        <v>156</v>
      </c>
      <c r="L23" s="471">
        <f t="shared" si="0"/>
        <v>78</v>
      </c>
      <c r="M23" s="471">
        <v>5</v>
      </c>
      <c r="N23" s="471">
        <f t="shared" si="1"/>
        <v>158</v>
      </c>
      <c r="O23" s="471">
        <v>11</v>
      </c>
      <c r="P23" s="586" t="s">
        <v>9</v>
      </c>
      <c r="Q23" s="248" t="s">
        <v>348</v>
      </c>
      <c r="R23" s="340"/>
    </row>
    <row r="24" spans="1:18" s="171" customFormat="1" ht="15" customHeight="1" x14ac:dyDescent="0.25">
      <c r="A24" s="164">
        <f t="shared" si="2"/>
        <v>9</v>
      </c>
      <c r="B24" s="488" t="s">
        <v>340</v>
      </c>
      <c r="C24" s="543"/>
      <c r="D24" s="480">
        <v>1989</v>
      </c>
      <c r="E24" s="469" t="s">
        <v>9</v>
      </c>
      <c r="F24" s="469" t="s">
        <v>237</v>
      </c>
      <c r="G24" s="53"/>
      <c r="H24" s="468">
        <v>66.650000000000006</v>
      </c>
      <c r="I24" s="469">
        <v>50</v>
      </c>
      <c r="J24" s="577">
        <v>9</v>
      </c>
      <c r="K24" s="469">
        <v>100</v>
      </c>
      <c r="L24" s="471">
        <f t="shared" si="0"/>
        <v>50</v>
      </c>
      <c r="M24" s="578">
        <v>9</v>
      </c>
      <c r="N24" s="471">
        <f t="shared" si="1"/>
        <v>100</v>
      </c>
      <c r="O24" s="471">
        <v>10</v>
      </c>
      <c r="P24" s="571" t="s">
        <v>8</v>
      </c>
      <c r="Q24" s="462" t="s">
        <v>347</v>
      </c>
      <c r="R24" s="293"/>
    </row>
    <row r="25" spans="1:18" s="171" customFormat="1" ht="16.5" customHeight="1" x14ac:dyDescent="0.25">
      <c r="A25" s="348">
        <f t="shared" si="2"/>
        <v>10</v>
      </c>
      <c r="B25" s="573" t="s">
        <v>343</v>
      </c>
      <c r="C25" s="574"/>
      <c r="D25" s="570">
        <v>1966</v>
      </c>
      <c r="E25" s="571" t="s">
        <v>8</v>
      </c>
      <c r="F25" s="572" t="s">
        <v>344</v>
      </c>
      <c r="G25" s="275"/>
      <c r="H25" s="582">
        <v>66.95</v>
      </c>
      <c r="I25" s="572">
        <v>50</v>
      </c>
      <c r="J25" s="569">
        <v>10</v>
      </c>
      <c r="K25" s="572">
        <v>70</v>
      </c>
      <c r="L25" s="580">
        <f t="shared" si="0"/>
        <v>35</v>
      </c>
      <c r="M25" s="569">
        <v>11</v>
      </c>
      <c r="N25" s="580">
        <f t="shared" si="1"/>
        <v>85</v>
      </c>
      <c r="O25" s="580">
        <v>9</v>
      </c>
      <c r="P25" s="571" t="s">
        <v>8</v>
      </c>
      <c r="Q25" s="573" t="s">
        <v>349</v>
      </c>
      <c r="R25" s="428"/>
    </row>
    <row r="26" spans="1:18" s="171" customFormat="1" ht="21" customHeight="1" x14ac:dyDescent="0.25">
      <c r="A26" s="349">
        <f t="shared" si="2"/>
        <v>11</v>
      </c>
      <c r="B26" s="565" t="s">
        <v>410</v>
      </c>
      <c r="C26" s="565"/>
      <c r="D26" s="511">
        <v>1994</v>
      </c>
      <c r="E26" s="511" t="s">
        <v>8</v>
      </c>
      <c r="F26" s="244" t="s">
        <v>493</v>
      </c>
      <c r="G26" s="28"/>
      <c r="H26" s="472">
        <v>67.900000000000006</v>
      </c>
      <c r="I26" s="473">
        <v>38</v>
      </c>
      <c r="J26" s="578">
        <v>11</v>
      </c>
      <c r="K26" s="473">
        <v>71</v>
      </c>
      <c r="L26" s="471">
        <f t="shared" si="0"/>
        <v>35.5</v>
      </c>
      <c r="M26" s="578">
        <v>10</v>
      </c>
      <c r="N26" s="471">
        <f t="shared" si="1"/>
        <v>73.5</v>
      </c>
      <c r="O26" s="471">
        <v>8</v>
      </c>
      <c r="P26" s="473"/>
      <c r="Q26" s="565" t="s">
        <v>409</v>
      </c>
      <c r="R26" s="321"/>
    </row>
    <row r="27" spans="1:18" s="167" customFormat="1" ht="15.75" customHeight="1" x14ac:dyDescent="0.25">
      <c r="A27" s="290">
        <v>12</v>
      </c>
      <c r="B27" s="575" t="s">
        <v>448</v>
      </c>
      <c r="C27" s="576"/>
      <c r="D27" s="244">
        <v>1998</v>
      </c>
      <c r="E27" s="244">
        <v>1</v>
      </c>
      <c r="F27" s="244" t="s">
        <v>493</v>
      </c>
      <c r="G27" s="429"/>
      <c r="H27" s="317">
        <v>68</v>
      </c>
      <c r="I27" s="244">
        <v>20</v>
      </c>
      <c r="J27" s="244">
        <v>12</v>
      </c>
      <c r="K27" s="244">
        <v>50</v>
      </c>
      <c r="L27" s="244">
        <f t="shared" si="0"/>
        <v>25</v>
      </c>
      <c r="M27" s="244">
        <v>12</v>
      </c>
      <c r="N27" s="244">
        <f t="shared" si="1"/>
        <v>45</v>
      </c>
      <c r="O27" s="578">
        <v>7</v>
      </c>
      <c r="P27" s="581"/>
      <c r="Q27" s="576" t="s">
        <v>324</v>
      </c>
      <c r="R27" s="430"/>
    </row>
    <row r="28" spans="1:18" ht="13.5" x14ac:dyDescent="0.25">
      <c r="A28" s="214" t="s">
        <v>480</v>
      </c>
      <c r="B28" s="210"/>
      <c r="C28" s="210"/>
      <c r="D28" s="210"/>
      <c r="E28" s="210"/>
      <c r="F28" s="210"/>
      <c r="G28" s="210"/>
      <c r="H28" s="214" t="s">
        <v>40</v>
      </c>
      <c r="J28" s="17"/>
      <c r="K28" s="205"/>
      <c r="M28" s="475" t="s">
        <v>479</v>
      </c>
      <c r="N28" s="205"/>
      <c r="O28" s="517"/>
      <c r="P28" s="517"/>
      <c r="Q28" s="517"/>
      <c r="R28" s="568"/>
    </row>
    <row r="29" spans="1:18" ht="13.5" x14ac:dyDescent="0.25">
      <c r="A29" s="214"/>
      <c r="B29" s="383"/>
      <c r="C29" s="205"/>
      <c r="D29" s="17"/>
      <c r="E29" s="17"/>
      <c r="F29" s="17"/>
      <c r="G29" s="17"/>
      <c r="H29" s="214"/>
      <c r="J29" s="17"/>
      <c r="K29" s="205"/>
      <c r="L29" s="476"/>
      <c r="M29" s="17"/>
      <c r="N29" s="17"/>
    </row>
    <row r="30" spans="1:18" ht="13.5" x14ac:dyDescent="0.25">
      <c r="A30" s="214" t="s">
        <v>491</v>
      </c>
      <c r="B30" s="210"/>
      <c r="C30" s="210"/>
      <c r="D30" s="210"/>
      <c r="E30" s="210"/>
      <c r="F30" s="210"/>
      <c r="G30" s="210"/>
      <c r="H30" s="214" t="s">
        <v>41</v>
      </c>
      <c r="J30" s="210"/>
      <c r="M30" s="477" t="s">
        <v>481</v>
      </c>
      <c r="N30" s="205"/>
      <c r="O30" s="210"/>
      <c r="P30" s="210"/>
      <c r="Q30" s="210"/>
      <c r="R30" s="210"/>
    </row>
    <row r="32" spans="1:18" ht="15.75" x14ac:dyDescent="0.25">
      <c r="B32" s="24"/>
      <c r="I32" s="101"/>
      <c r="J32" s="36"/>
      <c r="K32" s="36"/>
      <c r="L32" s="101"/>
      <c r="M32" s="101"/>
      <c r="O32" s="101"/>
      <c r="P32" s="101"/>
      <c r="Q32" s="185"/>
      <c r="R32" s="17"/>
    </row>
    <row r="33" spans="9:18" ht="15.75" x14ac:dyDescent="0.25">
      <c r="I33" s="101"/>
      <c r="J33" s="101"/>
      <c r="K33" s="101"/>
      <c r="L33" s="101"/>
      <c r="M33" s="101"/>
      <c r="N33" s="101"/>
      <c r="O33" s="101"/>
      <c r="P33" s="101"/>
      <c r="Q33" s="185"/>
      <c r="R33" s="17"/>
    </row>
    <row r="34" spans="9:18" ht="15.75" x14ac:dyDescent="0.25">
      <c r="I34" s="101"/>
      <c r="J34" s="36"/>
      <c r="K34" s="36"/>
      <c r="L34" s="101"/>
      <c r="M34" s="101"/>
      <c r="O34" s="101"/>
      <c r="P34" s="101"/>
      <c r="Q34" s="185"/>
      <c r="R34" s="17"/>
    </row>
  </sheetData>
  <sheetProtection selectLockedCells="1" selectUnlockedCells="1"/>
  <mergeCells count="30">
    <mergeCell ref="P14:P15"/>
    <mergeCell ref="Q14:R15"/>
    <mergeCell ref="I14:I15"/>
    <mergeCell ref="J14:J15"/>
    <mergeCell ref="K14:L14"/>
    <mergeCell ref="M14:M15"/>
    <mergeCell ref="N14:N15"/>
    <mergeCell ref="O14:O15"/>
    <mergeCell ref="D8:O8"/>
    <mergeCell ref="D9:O9"/>
    <mergeCell ref="D10:O10"/>
    <mergeCell ref="A14:A15"/>
    <mergeCell ref="B14:C15"/>
    <mergeCell ref="D14:D15"/>
    <mergeCell ref="E14:E15"/>
    <mergeCell ref="F14:F15"/>
    <mergeCell ref="G14:G15"/>
    <mergeCell ref="H14:H15"/>
    <mergeCell ref="A6:C6"/>
    <mergeCell ref="D6:O6"/>
    <mergeCell ref="P6:R6"/>
    <mergeCell ref="A7:C7"/>
    <mergeCell ref="D7:O7"/>
    <mergeCell ref="P7:R7"/>
    <mergeCell ref="A5:C5"/>
    <mergeCell ref="P5:R5"/>
    <mergeCell ref="A1:R1"/>
    <mergeCell ref="A2:R2"/>
    <mergeCell ref="A3:R3"/>
    <mergeCell ref="A4:R4"/>
  </mergeCells>
  <phoneticPr fontId="33" type="noConversion"/>
  <pageMargins left="7.874015748031496E-2" right="0.11811023622047245" top="0.23622047244094491" bottom="0.39370078740157483" header="0.51181102362204722" footer="0.51181102362204722"/>
  <pageSetup paperSize="9" scale="90" firstPageNumber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topLeftCell="A11" zoomScaleSheetLayoutView="100" workbookViewId="0">
      <selection activeCell="R26" sqref="R26"/>
    </sheetView>
  </sheetViews>
  <sheetFormatPr defaultRowHeight="12.75" x14ac:dyDescent="0.2"/>
  <cols>
    <col min="1" max="1" width="7.42578125" customWidth="1"/>
    <col min="2" max="2" width="25.5703125" style="167" customWidth="1"/>
    <col min="3" max="3" width="3.7109375" customWidth="1"/>
    <col min="4" max="4" width="1.28515625" hidden="1" customWidth="1"/>
    <col min="7" max="7" width="24.140625" customWidth="1"/>
    <col min="8" max="8" width="9.7109375" customWidth="1"/>
    <col min="11" max="15" width="7.7109375" customWidth="1"/>
    <col min="16" max="16" width="6.42578125" customWidth="1"/>
    <col min="17" max="17" width="9.42578125" customWidth="1"/>
    <col min="18" max="18" width="13.140625" customWidth="1"/>
    <col min="19" max="19" width="7.7109375" customWidth="1"/>
  </cols>
  <sheetData>
    <row r="1" spans="1:19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</row>
    <row r="2" spans="1:19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</row>
    <row r="3" spans="1:19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</row>
    <row r="4" spans="1:19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</row>
    <row r="5" spans="1:19" ht="28.15" customHeight="1" x14ac:dyDescent="0.2">
      <c r="A5" s="186"/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M5" s="836"/>
      <c r="N5" s="836"/>
      <c r="O5" s="836"/>
      <c r="P5" s="836"/>
      <c r="Q5" s="836"/>
      <c r="R5" s="836"/>
      <c r="S5" s="836"/>
    </row>
    <row r="6" spans="1:19" ht="28.15" customHeight="1" x14ac:dyDescent="0.2">
      <c r="A6" s="186"/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836"/>
      <c r="Q6" s="836"/>
      <c r="R6" s="836"/>
      <c r="S6" s="836"/>
    </row>
    <row r="7" spans="1:19" ht="13.5" x14ac:dyDescent="0.25">
      <c r="A7" s="970" t="s">
        <v>681</v>
      </c>
      <c r="B7" s="970"/>
      <c r="C7" s="84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70" t="s">
        <v>2</v>
      </c>
      <c r="R7" s="970"/>
      <c r="S7" s="970"/>
    </row>
    <row r="8" spans="1:19" ht="15.75" x14ac:dyDescent="0.25">
      <c r="A8" s="984" t="s">
        <v>530</v>
      </c>
      <c r="B8" s="984"/>
      <c r="C8" s="983" t="s">
        <v>3</v>
      </c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835"/>
      <c r="Q8" s="970" t="s">
        <v>4</v>
      </c>
      <c r="R8" s="970"/>
      <c r="S8" s="970"/>
    </row>
    <row r="9" spans="1:19" ht="16.149999999999999" customHeight="1" x14ac:dyDescent="0.25">
      <c r="A9" s="974" t="s">
        <v>5</v>
      </c>
      <c r="B9" s="974"/>
      <c r="C9" s="1022" t="s">
        <v>539</v>
      </c>
      <c r="D9" s="1022"/>
      <c r="E9" s="1022"/>
      <c r="F9" s="1022"/>
      <c r="G9" s="1022"/>
      <c r="H9" s="1022"/>
      <c r="I9" s="1022"/>
      <c r="J9" s="1022"/>
      <c r="K9" s="1022"/>
      <c r="L9" s="1022"/>
      <c r="M9" s="1022"/>
      <c r="N9" s="1022"/>
      <c r="O9" s="1022"/>
      <c r="P9" s="839"/>
      <c r="Q9" s="974" t="s">
        <v>7</v>
      </c>
      <c r="R9" s="974"/>
      <c r="S9" s="974"/>
    </row>
    <row r="10" spans="1:19" ht="15.75" x14ac:dyDescent="0.25">
      <c r="A10" s="159" t="s">
        <v>22</v>
      </c>
      <c r="B10" s="834" t="s">
        <v>541</v>
      </c>
      <c r="C10" s="983" t="s">
        <v>533</v>
      </c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835"/>
      <c r="Q10" s="834" t="s">
        <v>8</v>
      </c>
      <c r="R10" s="834" t="s">
        <v>9</v>
      </c>
      <c r="S10" s="834" t="s">
        <v>10</v>
      </c>
    </row>
    <row r="11" spans="1:19" ht="15.75" x14ac:dyDescent="0.25">
      <c r="A11" s="511">
        <v>147</v>
      </c>
      <c r="B11" s="511" t="s">
        <v>542</v>
      </c>
      <c r="C11" s="983" t="s">
        <v>540</v>
      </c>
      <c r="D11" s="983"/>
      <c r="E11" s="983"/>
      <c r="F11" s="983"/>
      <c r="G11" s="983"/>
      <c r="H11" s="983"/>
      <c r="I11" s="983"/>
      <c r="J11" s="983"/>
      <c r="K11" s="983"/>
      <c r="L11" s="983"/>
      <c r="M11" s="983"/>
      <c r="N11" s="983"/>
      <c r="O11" s="983"/>
      <c r="P11" s="835"/>
      <c r="Q11" s="770">
        <v>70</v>
      </c>
      <c r="R11" s="770">
        <v>100</v>
      </c>
      <c r="S11" s="770">
        <v>170</v>
      </c>
    </row>
    <row r="12" spans="1:19" ht="16.5" thickBot="1" x14ac:dyDescent="0.3">
      <c r="A12" s="5"/>
      <c r="B12" s="384"/>
      <c r="C12" s="983" t="s">
        <v>82</v>
      </c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983"/>
      <c r="O12" s="983"/>
      <c r="P12" s="835"/>
      <c r="Q12" s="6"/>
      <c r="R12" s="6"/>
      <c r="S12" s="6"/>
    </row>
    <row r="13" spans="1:19" ht="15.75" x14ac:dyDescent="0.2">
      <c r="A13" s="385" t="s">
        <v>13</v>
      </c>
      <c r="B13" s="8"/>
      <c r="C13" s="10">
        <v>44</v>
      </c>
      <c r="F13" s="836"/>
      <c r="G13" s="836"/>
      <c r="H13" s="836"/>
      <c r="I13" s="836"/>
      <c r="J13" s="836"/>
      <c r="K13" s="836"/>
      <c r="L13" s="836"/>
      <c r="M13" s="836"/>
      <c r="N13" s="836"/>
      <c r="O13" s="836"/>
      <c r="P13" s="836"/>
      <c r="Q13" s="12"/>
      <c r="R13" s="12"/>
      <c r="S13" s="12"/>
    </row>
    <row r="14" spans="1:19" ht="13.5" thickBot="1" x14ac:dyDescent="0.25">
      <c r="A14" s="386" t="s">
        <v>14</v>
      </c>
      <c r="B14" s="14"/>
      <c r="C14" s="16">
        <v>270</v>
      </c>
      <c r="F14" s="836"/>
      <c r="G14" s="836"/>
      <c r="H14" s="836"/>
      <c r="I14" s="836"/>
      <c r="J14" s="836"/>
      <c r="K14" s="836"/>
      <c r="L14" s="836"/>
      <c r="M14" s="836"/>
      <c r="N14" s="836"/>
      <c r="O14" s="836"/>
      <c r="P14" s="836"/>
      <c r="Q14" s="6"/>
      <c r="R14" s="6"/>
      <c r="S14" s="6"/>
    </row>
    <row r="15" spans="1:19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15</v>
      </c>
      <c r="L16" s="1060" t="s">
        <v>46</v>
      </c>
      <c r="M16" s="1061"/>
      <c r="N16" s="973" t="s">
        <v>15</v>
      </c>
      <c r="O16" s="973" t="s">
        <v>547</v>
      </c>
      <c r="P16" s="973" t="s">
        <v>548</v>
      </c>
      <c r="Q16" s="972" t="s">
        <v>24</v>
      </c>
      <c r="R16" s="972" t="s">
        <v>25</v>
      </c>
      <c r="S16" s="972"/>
    </row>
    <row r="17" spans="1:19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833" t="s">
        <v>84</v>
      </c>
      <c r="M17" s="833" t="s">
        <v>85</v>
      </c>
      <c r="N17" s="1062"/>
      <c r="O17" s="1062"/>
      <c r="P17" s="1062"/>
      <c r="Q17" s="973"/>
      <c r="R17" s="973"/>
      <c r="S17" s="973"/>
    </row>
    <row r="18" spans="1:19" s="24" customFormat="1" ht="15" customHeight="1" x14ac:dyDescent="0.25">
      <c r="A18" s="817" t="s">
        <v>686</v>
      </c>
      <c r="B18" s="837" t="s">
        <v>701</v>
      </c>
      <c r="C18" s="226"/>
      <c r="D18" s="248"/>
      <c r="E18" s="630">
        <v>1990</v>
      </c>
      <c r="F18" s="630" t="s">
        <v>223</v>
      </c>
      <c r="G18" s="630" t="s">
        <v>565</v>
      </c>
      <c r="H18" s="230" t="s">
        <v>31</v>
      </c>
      <c r="I18" s="465">
        <v>62.95</v>
      </c>
      <c r="J18" s="469">
        <v>145</v>
      </c>
      <c r="K18" s="469">
        <v>1</v>
      </c>
      <c r="L18" s="469">
        <v>144</v>
      </c>
      <c r="M18" s="466">
        <f t="shared" ref="M18:M28" si="0">L18/2</f>
        <v>72</v>
      </c>
      <c r="N18" s="469">
        <v>3</v>
      </c>
      <c r="O18" s="466">
        <f t="shared" ref="O18:O28" si="1">J18+M18</f>
        <v>217</v>
      </c>
      <c r="P18" s="469">
        <v>20</v>
      </c>
      <c r="Q18" s="467" t="str">
        <f t="shared" ref="Q18:Q24" si="2">IF(O18&gt;=$S$11,"МСМК",IF(O18&gt;=$R$11,"МС",IF(O18&gt;=$Q$11,"КМС","-")))</f>
        <v>МСМК</v>
      </c>
      <c r="R18" s="533" t="s">
        <v>708</v>
      </c>
      <c r="S18" s="240"/>
    </row>
    <row r="19" spans="1:19" s="24" customFormat="1" ht="17.25" customHeight="1" x14ac:dyDescent="0.25">
      <c r="A19" s="817" t="s">
        <v>687</v>
      </c>
      <c r="B19" s="837" t="s">
        <v>26</v>
      </c>
      <c r="C19" s="226"/>
      <c r="D19" s="248"/>
      <c r="E19" s="630">
        <v>1993</v>
      </c>
      <c r="F19" s="630" t="s">
        <v>10</v>
      </c>
      <c r="G19" s="630" t="s">
        <v>27</v>
      </c>
      <c r="H19" s="230" t="s">
        <v>31</v>
      </c>
      <c r="I19" s="465">
        <v>63</v>
      </c>
      <c r="J19" s="466">
        <v>127</v>
      </c>
      <c r="K19" s="466">
        <v>2</v>
      </c>
      <c r="L19" s="466">
        <v>146</v>
      </c>
      <c r="M19" s="466">
        <f t="shared" si="0"/>
        <v>73</v>
      </c>
      <c r="N19" s="466">
        <v>2</v>
      </c>
      <c r="O19" s="466">
        <f t="shared" si="1"/>
        <v>200</v>
      </c>
      <c r="P19" s="466">
        <v>18</v>
      </c>
      <c r="Q19" s="467" t="str">
        <f t="shared" si="2"/>
        <v>МСМК</v>
      </c>
      <c r="R19" s="798" t="s">
        <v>599</v>
      </c>
      <c r="S19" s="223"/>
    </row>
    <row r="20" spans="1:19" s="24" customFormat="1" ht="18.75" customHeight="1" x14ac:dyDescent="0.25">
      <c r="A20" s="817" t="s">
        <v>688</v>
      </c>
      <c r="B20" s="837" t="s">
        <v>605</v>
      </c>
      <c r="C20" s="226"/>
      <c r="D20" s="248"/>
      <c r="E20" s="630">
        <v>1995</v>
      </c>
      <c r="F20" s="630" t="s">
        <v>10</v>
      </c>
      <c r="G20" s="630" t="s">
        <v>125</v>
      </c>
      <c r="H20" s="230" t="s">
        <v>737</v>
      </c>
      <c r="I20" s="465">
        <v>62.75</v>
      </c>
      <c r="J20" s="231">
        <v>117</v>
      </c>
      <c r="K20" s="466">
        <v>3</v>
      </c>
      <c r="L20" s="231">
        <v>148</v>
      </c>
      <c r="M20" s="466">
        <f t="shared" si="0"/>
        <v>74</v>
      </c>
      <c r="N20" s="231">
        <v>1</v>
      </c>
      <c r="O20" s="466">
        <f t="shared" si="1"/>
        <v>191</v>
      </c>
      <c r="P20" s="231">
        <v>16</v>
      </c>
      <c r="Q20" s="467" t="str">
        <f t="shared" si="2"/>
        <v>МСМК</v>
      </c>
      <c r="R20" s="838" t="s">
        <v>126</v>
      </c>
      <c r="S20" s="233"/>
    </row>
    <row r="21" spans="1:19" s="24" customFormat="1" ht="17.25" customHeight="1" x14ac:dyDescent="0.25">
      <c r="A21" s="817" t="s">
        <v>689</v>
      </c>
      <c r="B21" s="837" t="s">
        <v>508</v>
      </c>
      <c r="C21" s="893"/>
      <c r="D21" s="894"/>
      <c r="E21" s="630">
        <v>1995</v>
      </c>
      <c r="F21" s="630" t="s">
        <v>10</v>
      </c>
      <c r="G21" s="630" t="s">
        <v>489</v>
      </c>
      <c r="H21" s="245"/>
      <c r="I21" s="465">
        <v>63</v>
      </c>
      <c r="J21" s="231">
        <v>103</v>
      </c>
      <c r="K21" s="466">
        <v>4</v>
      </c>
      <c r="L21" s="278">
        <v>121</v>
      </c>
      <c r="M21" s="466">
        <f t="shared" si="0"/>
        <v>60.5</v>
      </c>
      <c r="N21" s="278">
        <v>6</v>
      </c>
      <c r="O21" s="466">
        <f t="shared" si="1"/>
        <v>163.5</v>
      </c>
      <c r="P21" s="231">
        <v>15</v>
      </c>
      <c r="Q21" s="467" t="str">
        <f t="shared" si="2"/>
        <v>МС</v>
      </c>
      <c r="R21" s="533" t="s">
        <v>29</v>
      </c>
      <c r="S21" s="233"/>
    </row>
    <row r="22" spans="1:19" s="24" customFormat="1" ht="15.75" customHeight="1" x14ac:dyDescent="0.25">
      <c r="A22" s="817" t="s">
        <v>690</v>
      </c>
      <c r="B22" s="837" t="s">
        <v>334</v>
      </c>
      <c r="C22" s="242"/>
      <c r="D22" s="243"/>
      <c r="E22" s="630">
        <v>1985</v>
      </c>
      <c r="F22" s="630" t="s">
        <v>10</v>
      </c>
      <c r="G22" s="630" t="s">
        <v>702</v>
      </c>
      <c r="H22" s="496"/>
      <c r="I22" s="465">
        <v>62.9</v>
      </c>
      <c r="J22" s="466">
        <v>89</v>
      </c>
      <c r="K22" s="466">
        <v>5</v>
      </c>
      <c r="L22" s="885">
        <v>128</v>
      </c>
      <c r="M22" s="466">
        <f t="shared" si="0"/>
        <v>64</v>
      </c>
      <c r="N22" s="887">
        <v>4</v>
      </c>
      <c r="O22" s="466">
        <f t="shared" si="1"/>
        <v>153</v>
      </c>
      <c r="P22" s="889">
        <v>14</v>
      </c>
      <c r="Q22" s="467" t="str">
        <f t="shared" si="2"/>
        <v>МС</v>
      </c>
      <c r="R22" s="838" t="s">
        <v>87</v>
      </c>
      <c r="S22" s="223"/>
    </row>
    <row r="23" spans="1:19" s="24" customFormat="1" ht="15" x14ac:dyDescent="0.25">
      <c r="A23" s="903" t="s">
        <v>691</v>
      </c>
      <c r="B23" s="837" t="s">
        <v>699</v>
      </c>
      <c r="C23" s="242"/>
      <c r="D23" s="243"/>
      <c r="E23" s="630">
        <v>1985</v>
      </c>
      <c r="F23" s="630" t="s">
        <v>9</v>
      </c>
      <c r="G23" s="630" t="s">
        <v>700</v>
      </c>
      <c r="H23" s="399"/>
      <c r="I23" s="465">
        <v>62.85</v>
      </c>
      <c r="J23" s="473">
        <v>56</v>
      </c>
      <c r="K23" s="466">
        <v>10</v>
      </c>
      <c r="L23" s="473">
        <v>124</v>
      </c>
      <c r="M23" s="466">
        <f t="shared" si="0"/>
        <v>62</v>
      </c>
      <c r="N23" s="473">
        <v>5</v>
      </c>
      <c r="O23" s="466">
        <f t="shared" si="1"/>
        <v>118</v>
      </c>
      <c r="P23" s="536">
        <v>13</v>
      </c>
      <c r="Q23" s="467" t="str">
        <f t="shared" si="2"/>
        <v>МС</v>
      </c>
      <c r="R23" s="798" t="s">
        <v>707</v>
      </c>
      <c r="S23" s="784"/>
    </row>
    <row r="24" spans="1:19" s="24" customFormat="1" ht="15" x14ac:dyDescent="0.25">
      <c r="A24" s="817" t="s">
        <v>692</v>
      </c>
      <c r="B24" s="837" t="s">
        <v>698</v>
      </c>
      <c r="C24" s="718"/>
      <c r="D24" s="813"/>
      <c r="E24" s="630">
        <v>1989</v>
      </c>
      <c r="F24" s="630" t="s">
        <v>9</v>
      </c>
      <c r="G24" s="630" t="s">
        <v>27</v>
      </c>
      <c r="H24" s="539"/>
      <c r="I24" s="465">
        <v>63</v>
      </c>
      <c r="J24" s="399">
        <v>70</v>
      </c>
      <c r="K24" s="466">
        <v>7</v>
      </c>
      <c r="L24" s="245">
        <v>95</v>
      </c>
      <c r="M24" s="466">
        <f t="shared" si="0"/>
        <v>47.5</v>
      </c>
      <c r="N24" s="245">
        <v>8</v>
      </c>
      <c r="O24" s="466">
        <f t="shared" si="1"/>
        <v>117.5</v>
      </c>
      <c r="P24" s="245">
        <v>12</v>
      </c>
      <c r="Q24" s="467" t="str">
        <f t="shared" si="2"/>
        <v>МС</v>
      </c>
      <c r="R24" s="838" t="s">
        <v>706</v>
      </c>
      <c r="S24" s="246"/>
    </row>
    <row r="25" spans="1:19" s="24" customFormat="1" ht="15" x14ac:dyDescent="0.25">
      <c r="A25" s="817" t="s">
        <v>693</v>
      </c>
      <c r="B25" s="837" t="s">
        <v>697</v>
      </c>
      <c r="C25" s="499"/>
      <c r="D25" s="500"/>
      <c r="E25" s="630">
        <v>1997</v>
      </c>
      <c r="F25" s="630" t="s">
        <v>8</v>
      </c>
      <c r="G25" s="630" t="s">
        <v>35</v>
      </c>
      <c r="H25" s="539"/>
      <c r="I25" s="465">
        <v>61.95</v>
      </c>
      <c r="J25" s="473">
        <v>56</v>
      </c>
      <c r="K25" s="466">
        <v>9</v>
      </c>
      <c r="L25" s="473">
        <v>110</v>
      </c>
      <c r="M25" s="466">
        <f t="shared" si="0"/>
        <v>55</v>
      </c>
      <c r="N25" s="473">
        <v>7</v>
      </c>
      <c r="O25" s="466">
        <f t="shared" si="1"/>
        <v>111</v>
      </c>
      <c r="P25" s="473">
        <v>11</v>
      </c>
      <c r="Q25" s="890" t="s">
        <v>718</v>
      </c>
      <c r="R25" s="798" t="s">
        <v>705</v>
      </c>
      <c r="S25" s="280"/>
    </row>
    <row r="26" spans="1:19" s="24" customFormat="1" ht="15" x14ac:dyDescent="0.25">
      <c r="A26" s="817" t="s">
        <v>709</v>
      </c>
      <c r="B26" s="837" t="s">
        <v>127</v>
      </c>
      <c r="C26" s="242"/>
      <c r="D26" s="243"/>
      <c r="E26" s="630">
        <v>1990</v>
      </c>
      <c r="F26" s="630" t="s">
        <v>9</v>
      </c>
      <c r="G26" s="630" t="s">
        <v>32</v>
      </c>
      <c r="H26" s="538" t="s">
        <v>31</v>
      </c>
      <c r="I26" s="465">
        <v>62.45</v>
      </c>
      <c r="J26" s="473">
        <v>74</v>
      </c>
      <c r="K26" s="466">
        <v>6</v>
      </c>
      <c r="L26" s="473">
        <v>73</v>
      </c>
      <c r="M26" s="466">
        <f t="shared" si="0"/>
        <v>36.5</v>
      </c>
      <c r="N26" s="473">
        <v>10</v>
      </c>
      <c r="O26" s="466">
        <f t="shared" si="1"/>
        <v>110.5</v>
      </c>
      <c r="P26" s="536">
        <v>10</v>
      </c>
      <c r="Q26" s="467" t="str">
        <f>IF(O26&gt;=$S$11,"МСМК",IF(O26&gt;=$R$11,"МС",IF(O26&gt;=$Q$11,"КМС","-")))</f>
        <v>МС</v>
      </c>
      <c r="R26" s="797" t="s">
        <v>596</v>
      </c>
      <c r="S26" s="280"/>
    </row>
    <row r="27" spans="1:19" s="24" customFormat="1" ht="15" x14ac:dyDescent="0.25">
      <c r="A27" s="817" t="s">
        <v>710</v>
      </c>
      <c r="B27" s="837" t="s">
        <v>696</v>
      </c>
      <c r="C27" s="499"/>
      <c r="D27" s="500"/>
      <c r="E27" s="630">
        <v>1999</v>
      </c>
      <c r="F27" s="630" t="s">
        <v>8</v>
      </c>
      <c r="G27" s="630" t="s">
        <v>35</v>
      </c>
      <c r="H27" s="511"/>
      <c r="I27" s="465">
        <v>61.15</v>
      </c>
      <c r="J27" s="399">
        <v>60</v>
      </c>
      <c r="K27" s="466">
        <v>8</v>
      </c>
      <c r="L27" s="245">
        <v>86</v>
      </c>
      <c r="M27" s="466">
        <f t="shared" si="0"/>
        <v>43</v>
      </c>
      <c r="N27" s="245">
        <v>9</v>
      </c>
      <c r="O27" s="466">
        <f t="shared" si="1"/>
        <v>103</v>
      </c>
      <c r="P27" s="245">
        <v>9</v>
      </c>
      <c r="Q27" s="890" t="s">
        <v>718</v>
      </c>
      <c r="R27" s="838" t="s">
        <v>704</v>
      </c>
      <c r="S27" s="246"/>
    </row>
    <row r="28" spans="1:19" s="24" customFormat="1" ht="15" x14ac:dyDescent="0.25">
      <c r="A28" s="817" t="s">
        <v>711</v>
      </c>
      <c r="B28" s="837" t="s">
        <v>695</v>
      </c>
      <c r="C28" s="499"/>
      <c r="D28" s="500"/>
      <c r="E28" s="630">
        <v>1993</v>
      </c>
      <c r="F28" s="630" t="s">
        <v>8</v>
      </c>
      <c r="G28" s="630" t="s">
        <v>33</v>
      </c>
      <c r="H28" s="471"/>
      <c r="I28" s="465">
        <v>62.65</v>
      </c>
      <c r="J28" s="471">
        <v>52</v>
      </c>
      <c r="K28" s="466">
        <v>11</v>
      </c>
      <c r="L28" s="471">
        <v>59</v>
      </c>
      <c r="M28" s="466">
        <f t="shared" si="0"/>
        <v>29.5</v>
      </c>
      <c r="N28" s="471">
        <v>11</v>
      </c>
      <c r="O28" s="466">
        <f t="shared" si="1"/>
        <v>81.5</v>
      </c>
      <c r="P28" s="471">
        <v>8</v>
      </c>
      <c r="Q28" s="467" t="str">
        <f>IF(O28&gt;=$S$11,"МСМК",IF(O28&gt;=$R$11,"МС",IF(O28&gt;=$Q$11,"КМС","-")))</f>
        <v>КМС</v>
      </c>
      <c r="R28" s="796" t="s">
        <v>703</v>
      </c>
      <c r="S28" s="27"/>
    </row>
    <row r="29" spans="1:19" x14ac:dyDescent="0.2">
      <c r="A29" s="17"/>
      <c r="B29" s="21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ht="13.5" x14ac:dyDescent="0.25">
      <c r="A30" s="214" t="s">
        <v>534</v>
      </c>
      <c r="B30" s="210"/>
      <c r="C30" s="210"/>
      <c r="D30" s="210"/>
      <c r="E30" s="210"/>
      <c r="F30" s="210"/>
      <c r="G30" s="210"/>
      <c r="H30" s="214" t="s">
        <v>40</v>
      </c>
      <c r="J30" s="17"/>
      <c r="K30" s="841"/>
      <c r="L30" s="841"/>
      <c r="M30" s="841"/>
      <c r="N30" s="841"/>
      <c r="O30" s="841"/>
      <c r="P30" s="841"/>
      <c r="Q30" s="475" t="s">
        <v>536</v>
      </c>
      <c r="S30" s="841"/>
    </row>
    <row r="31" spans="1:19" ht="13.5" x14ac:dyDescent="0.25">
      <c r="A31" s="214"/>
      <c r="B31" s="383"/>
      <c r="C31" s="841"/>
      <c r="D31" s="17"/>
      <c r="E31" s="17"/>
      <c r="F31" s="17"/>
      <c r="G31" s="17"/>
      <c r="H31" s="214"/>
      <c r="J31" s="17"/>
      <c r="K31" s="841"/>
      <c r="L31" s="841"/>
      <c r="M31" s="841"/>
      <c r="N31" s="841"/>
      <c r="O31" s="841"/>
      <c r="P31" s="841"/>
      <c r="Q31" s="476"/>
      <c r="R31" s="17"/>
      <c r="S31" s="17"/>
    </row>
    <row r="32" spans="1:19" ht="13.5" x14ac:dyDescent="0.25">
      <c r="A32" s="214" t="s">
        <v>535</v>
      </c>
      <c r="B32" s="210"/>
      <c r="C32" s="210"/>
      <c r="D32" s="210"/>
      <c r="E32" s="210"/>
      <c r="F32" s="210"/>
      <c r="G32" s="210"/>
      <c r="H32" s="214" t="s">
        <v>41</v>
      </c>
      <c r="J32" s="210"/>
      <c r="Q32" s="477" t="s">
        <v>537</v>
      </c>
      <c r="R32" s="841"/>
      <c r="S32" s="841"/>
    </row>
  </sheetData>
  <autoFilter ref="A16:S17">
    <filterColumn colId="1" showButton="0"/>
    <filterColumn colId="2" showButton="0"/>
    <filterColumn colId="11" showButton="0"/>
    <filterColumn colId="17" showButton="0"/>
    <sortState ref="A19:S28">
      <sortCondition descending="1" ref="O16:O17"/>
    </sortState>
  </autoFilter>
  <mergeCells count="30">
    <mergeCell ref="B1:S1"/>
    <mergeCell ref="B2:S2"/>
    <mergeCell ref="B3:S3"/>
    <mergeCell ref="B4:S4"/>
    <mergeCell ref="A7:B7"/>
    <mergeCell ref="Q7:S7"/>
    <mergeCell ref="A8:B8"/>
    <mergeCell ref="C8:O8"/>
    <mergeCell ref="Q8:S8"/>
    <mergeCell ref="A9:B9"/>
    <mergeCell ref="C9:O9"/>
    <mergeCell ref="Q9:S9"/>
    <mergeCell ref="C10:O10"/>
    <mergeCell ref="C11:O11"/>
    <mergeCell ref="C12:O12"/>
    <mergeCell ref="A16:A17"/>
    <mergeCell ref="B16:D17"/>
    <mergeCell ref="E16:E17"/>
    <mergeCell ref="F16:F17"/>
    <mergeCell ref="G16:G17"/>
    <mergeCell ref="H16:H17"/>
    <mergeCell ref="I16:I17"/>
    <mergeCell ref="Q16:Q17"/>
    <mergeCell ref="R16:S17"/>
    <mergeCell ref="J16:J17"/>
    <mergeCell ref="K16:K17"/>
    <mergeCell ref="L16:M16"/>
    <mergeCell ref="N16:N17"/>
    <mergeCell ref="O16:O17"/>
    <mergeCell ref="P16:P1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colBreaks count="1" manualBreakCount="1">
    <brk id="19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showWhiteSpace="0" zoomScaleSheetLayoutView="100" zoomScalePageLayoutView="85" workbookViewId="0">
      <selection activeCell="P9" sqref="P9:R9"/>
    </sheetView>
  </sheetViews>
  <sheetFormatPr defaultRowHeight="12.75" x14ac:dyDescent="0.2"/>
  <cols>
    <col min="1" max="1" width="6.7109375" customWidth="1"/>
    <col min="2" max="2" width="7.85546875" style="167" customWidth="1"/>
    <col min="3" max="3" width="17.42578125" customWidth="1"/>
    <col min="4" max="4" width="8.85546875" customWidth="1"/>
    <col min="5" max="5" width="6.7109375" customWidth="1"/>
    <col min="6" max="6" width="20.7109375" customWidth="1"/>
    <col min="7" max="7" width="9.7109375" customWidth="1"/>
    <col min="8" max="8" width="6.5703125" customWidth="1"/>
    <col min="9" max="13" width="5.85546875" customWidth="1"/>
    <col min="14" max="14" width="7.42578125" customWidth="1"/>
    <col min="15" max="15" width="5.28515625" customWidth="1"/>
    <col min="16" max="16" width="6.85546875" customWidth="1"/>
    <col min="17" max="17" width="10.140625" customWidth="1"/>
    <col min="18" max="18" width="17.28515625" customWidth="1"/>
  </cols>
  <sheetData>
    <row r="1" spans="1:18" ht="15.75" customHeight="1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</row>
    <row r="2" spans="1:18" ht="15.75" customHeight="1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</row>
    <row r="3" spans="1:18" ht="15.75" customHeight="1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</row>
    <row r="4" spans="1:18" ht="15.75" customHeight="1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7"/>
      <c r="R4" s="987"/>
    </row>
    <row r="5" spans="1:18" ht="12" customHeight="1" x14ac:dyDescent="0.25">
      <c r="A5" s="970" t="s">
        <v>112</v>
      </c>
      <c r="B5" s="970"/>
      <c r="C5" s="970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970" t="s">
        <v>2</v>
      </c>
      <c r="Q5" s="1043"/>
      <c r="R5" s="1043"/>
    </row>
    <row r="6" spans="1:18" ht="15.75" customHeight="1" x14ac:dyDescent="0.25">
      <c r="A6" s="988" t="s">
        <v>457</v>
      </c>
      <c r="B6" s="988"/>
      <c r="C6" s="989"/>
      <c r="D6" s="983" t="s">
        <v>77</v>
      </c>
      <c r="E6" s="1043"/>
      <c r="F6" s="1043"/>
      <c r="G6" s="1043"/>
      <c r="H6" s="1043"/>
      <c r="I6" s="1043"/>
      <c r="J6" s="1043"/>
      <c r="K6" s="1043"/>
      <c r="L6" s="1043"/>
      <c r="M6" s="1043"/>
      <c r="N6" s="1043"/>
      <c r="O6" s="1043"/>
      <c r="P6" s="1044" t="s">
        <v>4</v>
      </c>
      <c r="Q6" s="1045"/>
      <c r="R6" s="1045"/>
    </row>
    <row r="7" spans="1:18" ht="15.75" customHeight="1" x14ac:dyDescent="0.25">
      <c r="A7" s="1046" t="s">
        <v>5</v>
      </c>
      <c r="B7" s="1047"/>
      <c r="C7" s="1048"/>
      <c r="D7" s="983" t="s">
        <v>78</v>
      </c>
      <c r="E7" s="983"/>
      <c r="F7" s="983"/>
      <c r="G7" s="983"/>
      <c r="H7" s="983"/>
      <c r="I7" s="983"/>
      <c r="J7" s="983"/>
      <c r="K7" s="983"/>
      <c r="L7" s="983"/>
      <c r="M7" s="983"/>
      <c r="N7" s="983"/>
      <c r="O7" s="983"/>
      <c r="P7" s="974" t="s">
        <v>7</v>
      </c>
      <c r="Q7" s="974"/>
      <c r="R7" s="974"/>
    </row>
    <row r="8" spans="1:18" ht="15.75" customHeight="1" x14ac:dyDescent="0.25">
      <c r="A8" s="159" t="s">
        <v>22</v>
      </c>
      <c r="B8" s="414" t="s">
        <v>79</v>
      </c>
      <c r="C8" s="159" t="s">
        <v>80</v>
      </c>
      <c r="D8" s="983" t="s">
        <v>117</v>
      </c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160" t="s">
        <v>8</v>
      </c>
      <c r="Q8" s="160" t="s">
        <v>9</v>
      </c>
      <c r="R8" s="160" t="s">
        <v>10</v>
      </c>
    </row>
    <row r="9" spans="1:18" ht="15.75" customHeight="1" x14ac:dyDescent="0.25">
      <c r="A9" s="359">
        <v>149</v>
      </c>
      <c r="B9" s="361">
        <v>190</v>
      </c>
      <c r="C9" s="360">
        <v>229</v>
      </c>
      <c r="D9" s="983" t="s">
        <v>81</v>
      </c>
      <c r="E9" s="983"/>
      <c r="F9" s="983"/>
      <c r="G9" s="983"/>
      <c r="H9" s="983"/>
      <c r="I9" s="983"/>
      <c r="J9" s="983"/>
      <c r="K9" s="983"/>
      <c r="L9" s="983"/>
      <c r="M9" s="983"/>
      <c r="N9" s="983"/>
      <c r="O9" s="983"/>
      <c r="P9" s="4">
        <v>86</v>
      </c>
      <c r="Q9" s="4">
        <v>130</v>
      </c>
      <c r="R9" s="4">
        <v>195</v>
      </c>
    </row>
    <row r="10" spans="1:18" ht="15.75" customHeight="1" thickBot="1" x14ac:dyDescent="0.25">
      <c r="A10" s="11"/>
      <c r="B10" s="173"/>
      <c r="C10" s="11"/>
      <c r="D10" s="1049" t="s">
        <v>391</v>
      </c>
      <c r="E10" s="1049"/>
      <c r="F10" s="1049"/>
      <c r="G10" s="1049"/>
      <c r="H10" s="1049"/>
      <c r="I10" s="1049"/>
      <c r="J10" s="1049"/>
      <c r="K10" s="1049"/>
      <c r="L10" s="1049"/>
      <c r="M10" s="1049"/>
      <c r="N10" s="1049"/>
      <c r="O10" s="1049"/>
      <c r="P10" s="11"/>
      <c r="Q10" s="11"/>
      <c r="R10" s="11"/>
    </row>
    <row r="11" spans="1:18" ht="15.75" customHeight="1" x14ac:dyDescent="0.25">
      <c r="A11" s="11"/>
      <c r="B11" s="385" t="s">
        <v>13</v>
      </c>
      <c r="C11" s="8"/>
      <c r="D11" s="9"/>
      <c r="E11" s="10">
        <v>44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1"/>
      <c r="Q11" s="11"/>
      <c r="R11" s="11"/>
    </row>
    <row r="12" spans="1:18" ht="15.75" customHeight="1" thickBot="1" x14ac:dyDescent="0.3">
      <c r="A12" s="11"/>
      <c r="B12" s="386" t="s">
        <v>14</v>
      </c>
      <c r="C12" s="14"/>
      <c r="D12" s="15"/>
      <c r="E12" s="16">
        <v>270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1"/>
      <c r="Q12" s="11"/>
      <c r="R12" s="11"/>
    </row>
    <row r="13" spans="1:18" x14ac:dyDescent="0.2">
      <c r="A13" s="17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2" customHeight="1" x14ac:dyDescent="0.2">
      <c r="A14" s="1058" t="s">
        <v>15</v>
      </c>
      <c r="B14" s="972" t="s">
        <v>55</v>
      </c>
      <c r="C14" s="972"/>
      <c r="D14" s="972" t="s">
        <v>17</v>
      </c>
      <c r="E14" s="972" t="s">
        <v>18</v>
      </c>
      <c r="F14" s="972" t="s">
        <v>19</v>
      </c>
      <c r="G14" s="973" t="s">
        <v>20</v>
      </c>
      <c r="H14" s="972" t="s">
        <v>21</v>
      </c>
      <c r="I14" s="972" t="s">
        <v>22</v>
      </c>
      <c r="J14" s="972" t="s">
        <v>15</v>
      </c>
      <c r="K14" s="1059" t="s">
        <v>46</v>
      </c>
      <c r="L14" s="1059"/>
      <c r="M14" s="1059" t="s">
        <v>15</v>
      </c>
      <c r="N14" s="972" t="s">
        <v>83</v>
      </c>
      <c r="O14" s="972" t="s">
        <v>23</v>
      </c>
      <c r="P14" s="972" t="s">
        <v>24</v>
      </c>
      <c r="Q14" s="972" t="s">
        <v>25</v>
      </c>
      <c r="R14" s="972"/>
    </row>
    <row r="15" spans="1:18" ht="12" customHeight="1" x14ac:dyDescent="0.2">
      <c r="A15" s="1058"/>
      <c r="B15" s="973"/>
      <c r="C15" s="973"/>
      <c r="D15" s="1063"/>
      <c r="E15" s="973"/>
      <c r="F15" s="973"/>
      <c r="G15" s="979"/>
      <c r="H15" s="973"/>
      <c r="I15" s="973"/>
      <c r="J15" s="973"/>
      <c r="K15" s="217" t="s">
        <v>84</v>
      </c>
      <c r="L15" s="217" t="s">
        <v>85</v>
      </c>
      <c r="M15" s="1057"/>
      <c r="N15" s="973"/>
      <c r="O15" s="973"/>
      <c r="P15" s="973"/>
      <c r="Q15" s="973"/>
      <c r="R15" s="973"/>
    </row>
    <row r="16" spans="1:18" ht="16.5" customHeight="1" x14ac:dyDescent="0.25">
      <c r="A16" s="18">
        <v>1</v>
      </c>
      <c r="B16" s="534" t="s">
        <v>395</v>
      </c>
      <c r="C16" s="718"/>
      <c r="D16" s="358">
        <v>1982</v>
      </c>
      <c r="E16" s="238" t="s">
        <v>10</v>
      </c>
      <c r="F16" s="312" t="s">
        <v>385</v>
      </c>
      <c r="G16" s="28"/>
      <c r="H16" s="30">
        <v>72.95</v>
      </c>
      <c r="I16" s="28">
        <v>134</v>
      </c>
      <c r="J16" s="20">
        <v>1</v>
      </c>
      <c r="K16" s="28">
        <v>160</v>
      </c>
      <c r="L16" s="21">
        <f t="shared" ref="L16:L28" si="0">K16/2</f>
        <v>80</v>
      </c>
      <c r="M16" s="21">
        <v>4</v>
      </c>
      <c r="N16" s="23">
        <f t="shared" ref="N16:N28" si="1">I16+L16</f>
        <v>214</v>
      </c>
      <c r="O16" s="23">
        <v>20</v>
      </c>
      <c r="P16" s="28" t="s">
        <v>10</v>
      </c>
      <c r="Q16" s="382" t="s">
        <v>500</v>
      </c>
      <c r="R16" s="29"/>
    </row>
    <row r="17" spans="1:18" s="167" customFormat="1" ht="15.75" customHeight="1" x14ac:dyDescent="0.25">
      <c r="A17" s="18">
        <f t="shared" ref="A17:A28" si="2">A16+1</f>
        <v>2</v>
      </c>
      <c r="B17" s="390" t="s">
        <v>355</v>
      </c>
      <c r="C17" s="482"/>
      <c r="D17" s="219">
        <v>1993</v>
      </c>
      <c r="E17" s="238" t="s">
        <v>10</v>
      </c>
      <c r="F17" s="466" t="s">
        <v>237</v>
      </c>
      <c r="G17" s="595" t="s">
        <v>356</v>
      </c>
      <c r="H17" s="221">
        <v>72.849999999999994</v>
      </c>
      <c r="I17" s="216">
        <v>123</v>
      </c>
      <c r="J17" s="21">
        <v>3</v>
      </c>
      <c r="K17" s="520">
        <v>180</v>
      </c>
      <c r="L17" s="21">
        <f t="shared" si="0"/>
        <v>90</v>
      </c>
      <c r="M17" s="21">
        <v>1</v>
      </c>
      <c r="N17" s="23">
        <f t="shared" si="1"/>
        <v>213</v>
      </c>
      <c r="O17" s="23">
        <v>18</v>
      </c>
      <c r="P17" s="28" t="s">
        <v>10</v>
      </c>
      <c r="Q17" s="47" t="s">
        <v>359</v>
      </c>
      <c r="R17" s="172"/>
    </row>
    <row r="18" spans="1:18" s="171" customFormat="1" ht="18.75" customHeight="1" x14ac:dyDescent="0.2">
      <c r="A18" s="461">
        <f t="shared" si="2"/>
        <v>3</v>
      </c>
      <c r="B18" s="503" t="s">
        <v>352</v>
      </c>
      <c r="C18" s="276"/>
      <c r="D18" s="339">
        <v>1995</v>
      </c>
      <c r="E18" s="294" t="s">
        <v>9</v>
      </c>
      <c r="F18" s="231" t="s">
        <v>353</v>
      </c>
      <c r="G18" s="294"/>
      <c r="H18" s="598">
        <v>72.900000000000006</v>
      </c>
      <c r="I18" s="294">
        <v>101</v>
      </c>
      <c r="J18" s="20">
        <v>7</v>
      </c>
      <c r="K18" s="294">
        <v>173</v>
      </c>
      <c r="L18" s="21">
        <f t="shared" si="0"/>
        <v>86.5</v>
      </c>
      <c r="M18" s="21">
        <v>2</v>
      </c>
      <c r="N18" s="23">
        <f t="shared" si="1"/>
        <v>187.5</v>
      </c>
      <c r="O18" s="23">
        <v>16</v>
      </c>
      <c r="P18" s="599" t="s">
        <v>9</v>
      </c>
      <c r="Q18" s="484" t="s">
        <v>230</v>
      </c>
      <c r="R18" s="19"/>
    </row>
    <row r="19" spans="1:18" s="167" customFormat="1" ht="15.75" customHeight="1" x14ac:dyDescent="0.25">
      <c r="A19" s="18">
        <f t="shared" si="2"/>
        <v>4</v>
      </c>
      <c r="B19" s="390" t="s">
        <v>350</v>
      </c>
      <c r="C19" s="225"/>
      <c r="D19" s="339">
        <v>1989</v>
      </c>
      <c r="E19" s="228" t="s">
        <v>10</v>
      </c>
      <c r="F19" s="228" t="s">
        <v>140</v>
      </c>
      <c r="G19" s="260" t="s">
        <v>141</v>
      </c>
      <c r="H19" s="583">
        <v>72.95</v>
      </c>
      <c r="I19" s="341">
        <v>130</v>
      </c>
      <c r="J19" s="20">
        <v>2</v>
      </c>
      <c r="K19" s="260">
        <v>109</v>
      </c>
      <c r="L19" s="21">
        <f t="shared" si="0"/>
        <v>54.5</v>
      </c>
      <c r="M19" s="21">
        <v>10</v>
      </c>
      <c r="N19" s="23">
        <f t="shared" si="1"/>
        <v>184.5</v>
      </c>
      <c r="O19" s="23">
        <v>15</v>
      </c>
      <c r="P19" s="26" t="s">
        <v>9</v>
      </c>
      <c r="Q19" s="248" t="s">
        <v>142</v>
      </c>
      <c r="R19" s="169"/>
    </row>
    <row r="20" spans="1:18" s="167" customFormat="1" ht="21" customHeight="1" x14ac:dyDescent="0.2">
      <c r="A20" s="18">
        <f t="shared" si="2"/>
        <v>5</v>
      </c>
      <c r="B20" s="503" t="s">
        <v>157</v>
      </c>
      <c r="C20" s="492"/>
      <c r="D20" s="238">
        <v>1989</v>
      </c>
      <c r="E20" s="238" t="s">
        <v>10</v>
      </c>
      <c r="F20" s="631" t="s">
        <v>351</v>
      </c>
      <c r="G20" s="351"/>
      <c r="H20" s="597">
        <v>73</v>
      </c>
      <c r="I20" s="350">
        <v>110</v>
      </c>
      <c r="J20" s="20">
        <v>4</v>
      </c>
      <c r="K20" s="220">
        <v>147</v>
      </c>
      <c r="L20" s="21">
        <f t="shared" si="0"/>
        <v>73.5</v>
      </c>
      <c r="M20" s="20">
        <v>6</v>
      </c>
      <c r="N20" s="23">
        <f t="shared" si="1"/>
        <v>183.5</v>
      </c>
      <c r="O20" s="23">
        <v>14</v>
      </c>
      <c r="P20" s="26" t="s">
        <v>9</v>
      </c>
      <c r="Q20" s="717" t="s">
        <v>528</v>
      </c>
      <c r="R20" s="19"/>
    </row>
    <row r="21" spans="1:18" s="167" customFormat="1" ht="15.75" customHeight="1" x14ac:dyDescent="0.2">
      <c r="A21" s="18">
        <f t="shared" si="2"/>
        <v>6</v>
      </c>
      <c r="B21" s="503" t="s">
        <v>92</v>
      </c>
      <c r="C21" s="492"/>
      <c r="D21" s="287">
        <v>1991</v>
      </c>
      <c r="E21" s="287" t="s">
        <v>9</v>
      </c>
      <c r="F21" s="466" t="s">
        <v>35</v>
      </c>
      <c r="G21" s="352"/>
      <c r="H21" s="221">
        <v>72.5</v>
      </c>
      <c r="I21" s="353">
        <v>89</v>
      </c>
      <c r="J21" s="20">
        <v>10</v>
      </c>
      <c r="K21" s="220">
        <v>170</v>
      </c>
      <c r="L21" s="21">
        <f t="shared" si="0"/>
        <v>85</v>
      </c>
      <c r="M21" s="20">
        <v>3</v>
      </c>
      <c r="N21" s="23">
        <f t="shared" si="1"/>
        <v>174</v>
      </c>
      <c r="O21" s="23">
        <v>13</v>
      </c>
      <c r="P21" s="28" t="s">
        <v>9</v>
      </c>
      <c r="Q21" s="222" t="s">
        <v>357</v>
      </c>
      <c r="R21" s="19"/>
    </row>
    <row r="22" spans="1:18" s="167" customFormat="1" ht="15.75" customHeight="1" x14ac:dyDescent="0.2">
      <c r="A22" s="164">
        <f t="shared" si="2"/>
        <v>7</v>
      </c>
      <c r="B22" s="503" t="s">
        <v>165</v>
      </c>
      <c r="C22" s="492"/>
      <c r="D22" s="238">
        <v>1994</v>
      </c>
      <c r="E22" s="238" t="s">
        <v>9</v>
      </c>
      <c r="F22" s="630" t="s">
        <v>125</v>
      </c>
      <c r="G22" s="351" t="s">
        <v>30</v>
      </c>
      <c r="H22" s="221">
        <v>70</v>
      </c>
      <c r="I22" s="350">
        <v>105</v>
      </c>
      <c r="J22" s="20">
        <v>5</v>
      </c>
      <c r="K22" s="220">
        <v>130</v>
      </c>
      <c r="L22" s="21">
        <f t="shared" si="0"/>
        <v>65</v>
      </c>
      <c r="M22" s="21">
        <v>8</v>
      </c>
      <c r="N22" s="23">
        <f t="shared" si="1"/>
        <v>170</v>
      </c>
      <c r="O22" s="23">
        <v>12</v>
      </c>
      <c r="P22" s="168" t="s">
        <v>9</v>
      </c>
      <c r="Q22" s="265" t="s">
        <v>126</v>
      </c>
      <c r="R22" s="19"/>
    </row>
    <row r="23" spans="1:18" s="167" customFormat="1" ht="15.75" customHeight="1" x14ac:dyDescent="0.25">
      <c r="A23" s="164">
        <f t="shared" si="2"/>
        <v>8</v>
      </c>
      <c r="B23" s="489" t="s">
        <v>407</v>
      </c>
      <c r="C23" s="478"/>
      <c r="D23" s="371">
        <v>1984</v>
      </c>
      <c r="E23" s="371" t="s">
        <v>8</v>
      </c>
      <c r="F23" s="627" t="s">
        <v>493</v>
      </c>
      <c r="G23" s="596"/>
      <c r="H23" s="357">
        <v>72.650000000000006</v>
      </c>
      <c r="I23" s="53">
        <v>95</v>
      </c>
      <c r="J23" s="21">
        <v>9</v>
      </c>
      <c r="K23" s="53">
        <v>149</v>
      </c>
      <c r="L23" s="21">
        <f t="shared" si="0"/>
        <v>74.5</v>
      </c>
      <c r="M23" s="21">
        <v>5</v>
      </c>
      <c r="N23" s="23">
        <f t="shared" si="1"/>
        <v>169.5</v>
      </c>
      <c r="O23" s="23">
        <v>11</v>
      </c>
      <c r="P23" s="28" t="s">
        <v>443</v>
      </c>
      <c r="Q23" s="347" t="s">
        <v>303</v>
      </c>
      <c r="R23" s="29"/>
    </row>
    <row r="24" spans="1:18" s="171" customFormat="1" ht="21" customHeight="1" x14ac:dyDescent="0.2">
      <c r="A24" s="164">
        <f t="shared" si="2"/>
        <v>9</v>
      </c>
      <c r="B24" s="503" t="s">
        <v>354</v>
      </c>
      <c r="C24" s="492"/>
      <c r="D24" s="219">
        <v>1991</v>
      </c>
      <c r="E24" s="220" t="s">
        <v>9</v>
      </c>
      <c r="F24" s="466" t="s">
        <v>27</v>
      </c>
      <c r="G24" s="220"/>
      <c r="H24" s="221">
        <v>72.400000000000006</v>
      </c>
      <c r="I24" s="350">
        <v>97</v>
      </c>
      <c r="J24" s="20">
        <v>8</v>
      </c>
      <c r="K24" s="220">
        <v>141</v>
      </c>
      <c r="L24" s="21">
        <f t="shared" si="0"/>
        <v>70.5</v>
      </c>
      <c r="M24" s="21">
        <v>7</v>
      </c>
      <c r="N24" s="23">
        <f t="shared" si="1"/>
        <v>167.5</v>
      </c>
      <c r="O24" s="23">
        <v>10</v>
      </c>
      <c r="P24" s="168" t="s">
        <v>9</v>
      </c>
      <c r="Q24" s="284" t="s">
        <v>358</v>
      </c>
      <c r="R24" s="29"/>
    </row>
    <row r="25" spans="1:18" s="171" customFormat="1" ht="21" customHeight="1" x14ac:dyDescent="0.25">
      <c r="A25" s="164">
        <f t="shared" si="2"/>
        <v>10</v>
      </c>
      <c r="B25" s="387" t="s">
        <v>161</v>
      </c>
      <c r="C25" s="225"/>
      <c r="D25" s="227">
        <v>1979</v>
      </c>
      <c r="E25" s="228" t="s">
        <v>9</v>
      </c>
      <c r="F25" s="231" t="s">
        <v>36</v>
      </c>
      <c r="G25" s="231" t="s">
        <v>37</v>
      </c>
      <c r="H25" s="230">
        <v>70.5</v>
      </c>
      <c r="I25" s="260">
        <v>102</v>
      </c>
      <c r="J25" s="21">
        <v>6</v>
      </c>
      <c r="K25" s="260">
        <v>110</v>
      </c>
      <c r="L25" s="21">
        <f t="shared" si="0"/>
        <v>55</v>
      </c>
      <c r="M25" s="20">
        <v>9</v>
      </c>
      <c r="N25" s="23">
        <f t="shared" si="1"/>
        <v>157</v>
      </c>
      <c r="O25" s="23">
        <v>9</v>
      </c>
      <c r="P25" s="21" t="s">
        <v>9</v>
      </c>
      <c r="Q25" s="224" t="s">
        <v>162</v>
      </c>
      <c r="R25" s="29"/>
    </row>
    <row r="26" spans="1:18" s="171" customFormat="1" ht="21" customHeight="1" x14ac:dyDescent="0.25">
      <c r="A26" s="164">
        <f t="shared" si="2"/>
        <v>11</v>
      </c>
      <c r="B26" s="573" t="s">
        <v>434</v>
      </c>
      <c r="C26" s="574"/>
      <c r="D26" s="408">
        <v>1994</v>
      </c>
      <c r="E26" s="408" t="s">
        <v>8</v>
      </c>
      <c r="F26" s="402" t="s">
        <v>36</v>
      </c>
      <c r="G26" s="278" t="s">
        <v>37</v>
      </c>
      <c r="H26" s="409">
        <v>72.650000000000006</v>
      </c>
      <c r="I26" s="275">
        <v>75</v>
      </c>
      <c r="J26" s="20">
        <v>11</v>
      </c>
      <c r="K26" s="275">
        <v>105</v>
      </c>
      <c r="L26" s="410">
        <f t="shared" si="0"/>
        <v>52.5</v>
      </c>
      <c r="M26" s="21">
        <v>11</v>
      </c>
      <c r="N26" s="411">
        <f t="shared" si="1"/>
        <v>127.5</v>
      </c>
      <c r="O26" s="23">
        <v>8</v>
      </c>
      <c r="P26" s="412" t="s">
        <v>8</v>
      </c>
      <c r="Q26" s="381" t="s">
        <v>38</v>
      </c>
      <c r="R26" s="413"/>
    </row>
    <row r="27" spans="1:18" s="171" customFormat="1" ht="21" customHeight="1" x14ac:dyDescent="0.25">
      <c r="A27" s="164">
        <f t="shared" si="2"/>
        <v>12</v>
      </c>
      <c r="B27" s="565" t="s">
        <v>412</v>
      </c>
      <c r="C27" s="565"/>
      <c r="D27" s="407">
        <v>1996</v>
      </c>
      <c r="E27" s="407">
        <v>1</v>
      </c>
      <c r="F27" s="244" t="s">
        <v>493</v>
      </c>
      <c r="G27" s="28"/>
      <c r="H27" s="30">
        <v>72.95</v>
      </c>
      <c r="I27" s="28">
        <v>55</v>
      </c>
      <c r="J27" s="21">
        <v>12</v>
      </c>
      <c r="K27" s="28">
        <v>37</v>
      </c>
      <c r="L27" s="21">
        <f t="shared" si="0"/>
        <v>18.5</v>
      </c>
      <c r="M27" s="21">
        <v>13</v>
      </c>
      <c r="N27" s="23">
        <f t="shared" si="1"/>
        <v>73.5</v>
      </c>
      <c r="O27" s="23">
        <v>7</v>
      </c>
      <c r="P27" s="28"/>
      <c r="Q27" s="321" t="s">
        <v>326</v>
      </c>
      <c r="R27" s="321"/>
    </row>
    <row r="28" spans="1:18" s="171" customFormat="1" ht="21" customHeight="1" x14ac:dyDescent="0.25">
      <c r="A28" s="164">
        <f t="shared" si="2"/>
        <v>13</v>
      </c>
      <c r="B28" s="565" t="s">
        <v>433</v>
      </c>
      <c r="C28" s="565"/>
      <c r="D28" s="407">
        <v>1998</v>
      </c>
      <c r="E28" s="407">
        <v>1</v>
      </c>
      <c r="F28" s="244" t="s">
        <v>353</v>
      </c>
      <c r="G28" s="28"/>
      <c r="H28" s="30">
        <v>72.099999999999994</v>
      </c>
      <c r="I28" s="28">
        <v>26</v>
      </c>
      <c r="J28" s="20">
        <v>13</v>
      </c>
      <c r="K28" s="28">
        <v>66</v>
      </c>
      <c r="L28" s="21">
        <f t="shared" si="0"/>
        <v>33</v>
      </c>
      <c r="M28" s="20">
        <v>12</v>
      </c>
      <c r="N28" s="23">
        <f t="shared" si="1"/>
        <v>59</v>
      </c>
      <c r="O28" s="23">
        <v>6</v>
      </c>
      <c r="P28" s="28"/>
      <c r="Q28" s="321" t="s">
        <v>230</v>
      </c>
      <c r="R28" s="321"/>
    </row>
    <row r="29" spans="1:18" s="167" customFormat="1" ht="15.75" customHeight="1" x14ac:dyDescent="0.25">
      <c r="A29" s="173"/>
      <c r="B29" s="174"/>
      <c r="C29" s="174"/>
      <c r="D29" s="175"/>
      <c r="E29" s="175"/>
      <c r="F29" s="176"/>
      <c r="G29" s="177"/>
      <c r="H29" s="178"/>
      <c r="I29" s="178"/>
      <c r="J29" s="178"/>
      <c r="K29" s="178"/>
      <c r="L29" s="179"/>
      <c r="M29" s="178"/>
      <c r="N29" s="180"/>
      <c r="O29" s="181"/>
      <c r="P29" s="182"/>
      <c r="Q29" s="183"/>
      <c r="R29" s="184"/>
    </row>
    <row r="30" spans="1:18" ht="13.5" x14ac:dyDescent="0.25">
      <c r="A30" s="214" t="s">
        <v>480</v>
      </c>
      <c r="B30" s="210"/>
      <c r="C30" s="210"/>
      <c r="D30" s="210"/>
      <c r="E30" s="210"/>
      <c r="F30" s="210"/>
      <c r="G30" s="210"/>
      <c r="H30" s="214" t="s">
        <v>40</v>
      </c>
      <c r="J30" s="17"/>
      <c r="K30" s="205"/>
      <c r="M30" s="475" t="s">
        <v>479</v>
      </c>
      <c r="N30" s="205"/>
      <c r="O30" s="517"/>
      <c r="P30" s="517"/>
      <c r="Q30" s="517"/>
      <c r="R30" s="517"/>
    </row>
    <row r="31" spans="1:18" ht="13.5" x14ac:dyDescent="0.25">
      <c r="A31" s="214"/>
      <c r="B31" s="383"/>
      <c r="C31" s="205"/>
      <c r="D31" s="17"/>
      <c r="E31" s="17"/>
      <c r="F31" s="17"/>
      <c r="G31" s="17"/>
      <c r="H31" s="214"/>
      <c r="J31" s="17"/>
      <c r="K31" s="205"/>
      <c r="L31" s="476"/>
      <c r="M31" s="17"/>
      <c r="N31" s="17"/>
    </row>
    <row r="32" spans="1:18" ht="13.5" x14ac:dyDescent="0.25">
      <c r="A32" s="214" t="s">
        <v>491</v>
      </c>
      <c r="B32" s="210"/>
      <c r="C32" s="210"/>
      <c r="D32" s="210"/>
      <c r="E32" s="210"/>
      <c r="F32" s="210"/>
      <c r="G32" s="210"/>
      <c r="H32" s="214" t="s">
        <v>41</v>
      </c>
      <c r="J32" s="210"/>
      <c r="M32" s="477" t="s">
        <v>481</v>
      </c>
      <c r="N32" s="205"/>
      <c r="O32" s="210"/>
      <c r="P32" s="210"/>
      <c r="Q32" s="210"/>
      <c r="R32" s="210"/>
    </row>
    <row r="34" spans="2:18" ht="15.75" x14ac:dyDescent="0.25">
      <c r="B34" s="24"/>
      <c r="I34" s="101"/>
      <c r="J34" s="36"/>
      <c r="K34" s="36"/>
      <c r="L34" s="101"/>
      <c r="M34" s="101"/>
      <c r="O34" s="101"/>
      <c r="P34" s="101"/>
      <c r="Q34" s="185"/>
      <c r="R34" s="17"/>
    </row>
    <row r="35" spans="2:18" ht="15.75" x14ac:dyDescent="0.25">
      <c r="I35" s="101"/>
      <c r="J35" s="101"/>
      <c r="K35" s="101"/>
      <c r="L35" s="101"/>
      <c r="M35" s="101"/>
      <c r="N35" s="101"/>
      <c r="O35" s="101"/>
      <c r="P35" s="101"/>
      <c r="Q35" s="185"/>
      <c r="R35" s="17"/>
    </row>
    <row r="36" spans="2:18" ht="15.75" x14ac:dyDescent="0.25">
      <c r="I36" s="101"/>
      <c r="J36" s="36"/>
      <c r="K36" s="36"/>
      <c r="L36" s="101"/>
      <c r="M36" s="101"/>
      <c r="O36" s="101"/>
      <c r="P36" s="101"/>
      <c r="Q36" s="185"/>
      <c r="R36" s="17"/>
    </row>
  </sheetData>
  <sheetProtection selectLockedCells="1" selectUnlockedCells="1"/>
  <mergeCells count="30">
    <mergeCell ref="P14:P15"/>
    <mergeCell ref="Q14:R15"/>
    <mergeCell ref="I14:I15"/>
    <mergeCell ref="J14:J15"/>
    <mergeCell ref="K14:L14"/>
    <mergeCell ref="M14:M15"/>
    <mergeCell ref="N14:N15"/>
    <mergeCell ref="O14:O15"/>
    <mergeCell ref="D8:O8"/>
    <mergeCell ref="D9:O9"/>
    <mergeCell ref="D10:O10"/>
    <mergeCell ref="A14:A15"/>
    <mergeCell ref="B14:C15"/>
    <mergeCell ref="D14:D15"/>
    <mergeCell ref="E14:E15"/>
    <mergeCell ref="F14:F15"/>
    <mergeCell ref="G14:G15"/>
    <mergeCell ref="H14:H15"/>
    <mergeCell ref="A6:C6"/>
    <mergeCell ref="D6:O6"/>
    <mergeCell ref="P6:R6"/>
    <mergeCell ref="A7:C7"/>
    <mergeCell ref="D7:O7"/>
    <mergeCell ref="P7:R7"/>
    <mergeCell ref="A5:C5"/>
    <mergeCell ref="P5:R5"/>
    <mergeCell ref="A1:R1"/>
    <mergeCell ref="A2:R2"/>
    <mergeCell ref="A3:R3"/>
    <mergeCell ref="A4:R4"/>
  </mergeCells>
  <phoneticPr fontId="33" type="noConversion"/>
  <pageMargins left="7.874015748031496E-2" right="0.11811023622047245" top="0.23622047244094491" bottom="0.39370078740157483" header="0.51181102362204722" footer="0.51181102362204722"/>
  <pageSetup paperSize="9" scale="90" firstPageNumber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showWhiteSpace="0" zoomScale="110" zoomScaleNormal="110" zoomScaleSheetLayoutView="100" zoomScalePageLayoutView="85" workbookViewId="0">
      <selection activeCell="P9" sqref="P9:R9"/>
    </sheetView>
  </sheetViews>
  <sheetFormatPr defaultRowHeight="12.75" x14ac:dyDescent="0.2"/>
  <cols>
    <col min="1" max="1" width="6.7109375" style="167" customWidth="1"/>
    <col min="2" max="2" width="7.85546875" style="167" customWidth="1"/>
    <col min="3" max="3" width="17.42578125" customWidth="1"/>
    <col min="4" max="4" width="8.85546875" customWidth="1"/>
    <col min="5" max="5" width="6.7109375" customWidth="1"/>
    <col min="6" max="6" width="20.7109375" customWidth="1"/>
    <col min="7" max="7" width="9.7109375" customWidth="1"/>
    <col min="8" max="8" width="6.5703125" customWidth="1"/>
    <col min="9" max="13" width="5.85546875" customWidth="1"/>
    <col min="14" max="14" width="7.42578125" customWidth="1"/>
    <col min="15" max="15" width="5.85546875" customWidth="1"/>
    <col min="16" max="16" width="6.85546875" customWidth="1"/>
    <col min="17" max="17" width="10.140625" customWidth="1"/>
    <col min="18" max="18" width="16.7109375" customWidth="1"/>
  </cols>
  <sheetData>
    <row r="1" spans="1:18" ht="15.75" customHeight="1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</row>
    <row r="2" spans="1:18" ht="15.75" customHeight="1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</row>
    <row r="3" spans="1:18" ht="15.75" customHeight="1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</row>
    <row r="4" spans="1:18" ht="15.75" customHeight="1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7"/>
      <c r="R4" s="987"/>
    </row>
    <row r="5" spans="1:18" ht="12" customHeight="1" x14ac:dyDescent="0.25">
      <c r="A5" s="970" t="s">
        <v>112</v>
      </c>
      <c r="B5" s="970"/>
      <c r="C5" s="970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970" t="s">
        <v>2</v>
      </c>
      <c r="Q5" s="1043"/>
      <c r="R5" s="1043"/>
    </row>
    <row r="6" spans="1:18" ht="15.75" customHeight="1" x14ac:dyDescent="0.25">
      <c r="A6" s="988" t="s">
        <v>457</v>
      </c>
      <c r="B6" s="988"/>
      <c r="C6" s="989"/>
      <c r="D6" s="983" t="s">
        <v>77</v>
      </c>
      <c r="E6" s="1043"/>
      <c r="F6" s="1043"/>
      <c r="G6" s="1043"/>
      <c r="H6" s="1043"/>
      <c r="I6" s="1043"/>
      <c r="J6" s="1043"/>
      <c r="K6" s="1043"/>
      <c r="L6" s="1043"/>
      <c r="M6" s="1043"/>
      <c r="N6" s="1043"/>
      <c r="O6" s="1043"/>
      <c r="P6" s="1044" t="s">
        <v>4</v>
      </c>
      <c r="Q6" s="1045"/>
      <c r="R6" s="1045"/>
    </row>
    <row r="7" spans="1:18" ht="15.75" customHeight="1" x14ac:dyDescent="0.25">
      <c r="A7" s="1046" t="s">
        <v>5</v>
      </c>
      <c r="B7" s="1047"/>
      <c r="C7" s="1048"/>
      <c r="D7" s="983" t="s">
        <v>78</v>
      </c>
      <c r="E7" s="983"/>
      <c r="F7" s="983"/>
      <c r="G7" s="983"/>
      <c r="H7" s="983"/>
      <c r="I7" s="983"/>
      <c r="J7" s="983"/>
      <c r="K7" s="983"/>
      <c r="L7" s="983"/>
      <c r="M7" s="983"/>
      <c r="N7" s="983"/>
      <c r="O7" s="983"/>
      <c r="P7" s="974" t="s">
        <v>7</v>
      </c>
      <c r="Q7" s="974"/>
      <c r="R7" s="974"/>
    </row>
    <row r="8" spans="1:18" ht="15.75" customHeight="1" x14ac:dyDescent="0.25">
      <c r="A8" s="414" t="s">
        <v>22</v>
      </c>
      <c r="B8" s="414" t="s">
        <v>79</v>
      </c>
      <c r="C8" s="159" t="s">
        <v>80</v>
      </c>
      <c r="D8" s="983" t="s">
        <v>117</v>
      </c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160" t="s">
        <v>8</v>
      </c>
      <c r="Q8" s="160" t="s">
        <v>9</v>
      </c>
      <c r="R8" s="160" t="s">
        <v>10</v>
      </c>
    </row>
    <row r="9" spans="1:18" ht="15.75" customHeight="1" x14ac:dyDescent="0.25">
      <c r="A9" s="362">
        <v>145</v>
      </c>
      <c r="B9" s="362">
        <v>205</v>
      </c>
      <c r="C9" s="360">
        <v>236.5</v>
      </c>
      <c r="D9" s="983" t="s">
        <v>81</v>
      </c>
      <c r="E9" s="983"/>
      <c r="F9" s="983"/>
      <c r="G9" s="983"/>
      <c r="H9" s="983"/>
      <c r="I9" s="983"/>
      <c r="J9" s="983"/>
      <c r="K9" s="983"/>
      <c r="L9" s="983"/>
      <c r="M9" s="983"/>
      <c r="N9" s="983"/>
      <c r="O9" s="983"/>
      <c r="P9" s="4">
        <v>97</v>
      </c>
      <c r="Q9" s="4">
        <v>140</v>
      </c>
      <c r="R9" s="4">
        <v>205</v>
      </c>
    </row>
    <row r="10" spans="1:18" ht="15.75" customHeight="1" thickBot="1" x14ac:dyDescent="0.25">
      <c r="A10" s="173"/>
      <c r="B10" s="173"/>
      <c r="C10" s="11"/>
      <c r="D10" s="1049" t="s">
        <v>392</v>
      </c>
      <c r="E10" s="1049"/>
      <c r="F10" s="1049"/>
      <c r="G10" s="1049"/>
      <c r="H10" s="1049"/>
      <c r="I10" s="1049"/>
      <c r="J10" s="1049"/>
      <c r="K10" s="1049"/>
      <c r="L10" s="1049"/>
      <c r="M10" s="1049"/>
      <c r="N10" s="1049"/>
      <c r="O10" s="1049"/>
      <c r="P10" s="11"/>
      <c r="Q10" s="11"/>
      <c r="R10" s="11"/>
    </row>
    <row r="11" spans="1:18" ht="15.75" customHeight="1" x14ac:dyDescent="0.25">
      <c r="A11" s="173"/>
      <c r="B11" s="385" t="s">
        <v>13</v>
      </c>
      <c r="C11" s="8"/>
      <c r="D11" s="9"/>
      <c r="E11" s="10">
        <v>44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1"/>
      <c r="Q11" s="11"/>
      <c r="R11" s="11"/>
    </row>
    <row r="12" spans="1:18" ht="15.75" customHeight="1" thickBot="1" x14ac:dyDescent="0.3">
      <c r="A12" s="173"/>
      <c r="B12" s="386" t="s">
        <v>14</v>
      </c>
      <c r="C12" s="14"/>
      <c r="D12" s="15"/>
      <c r="E12" s="16">
        <v>270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1"/>
      <c r="Q12" s="11"/>
      <c r="R12" s="11"/>
    </row>
    <row r="13" spans="1:18" x14ac:dyDescent="0.2">
      <c r="A13" s="215"/>
      <c r="B13" s="2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2" customHeight="1" x14ac:dyDescent="0.2">
      <c r="A14" s="1064" t="s">
        <v>15</v>
      </c>
      <c r="B14" s="972" t="s">
        <v>55</v>
      </c>
      <c r="C14" s="972"/>
      <c r="D14" s="972" t="s">
        <v>17</v>
      </c>
      <c r="E14" s="972" t="s">
        <v>18</v>
      </c>
      <c r="F14" s="972" t="s">
        <v>19</v>
      </c>
      <c r="G14" s="973" t="s">
        <v>20</v>
      </c>
      <c r="H14" s="972" t="s">
        <v>21</v>
      </c>
      <c r="I14" s="972" t="s">
        <v>22</v>
      </c>
      <c r="J14" s="972" t="s">
        <v>15</v>
      </c>
      <c r="K14" s="1059" t="s">
        <v>46</v>
      </c>
      <c r="L14" s="1059"/>
      <c r="M14" s="1059" t="s">
        <v>15</v>
      </c>
      <c r="N14" s="972" t="s">
        <v>83</v>
      </c>
      <c r="O14" s="972" t="s">
        <v>23</v>
      </c>
      <c r="P14" s="972" t="s">
        <v>24</v>
      </c>
      <c r="Q14" s="972" t="s">
        <v>25</v>
      </c>
      <c r="R14" s="972"/>
    </row>
    <row r="15" spans="1:18" ht="12" customHeight="1" x14ac:dyDescent="0.2">
      <c r="A15" s="1065"/>
      <c r="B15" s="973"/>
      <c r="C15" s="973"/>
      <c r="D15" s="973"/>
      <c r="E15" s="973"/>
      <c r="F15" s="973"/>
      <c r="G15" s="979"/>
      <c r="H15" s="973"/>
      <c r="I15" s="973"/>
      <c r="J15" s="973"/>
      <c r="K15" s="217" t="s">
        <v>84</v>
      </c>
      <c r="L15" s="217" t="s">
        <v>85</v>
      </c>
      <c r="M15" s="1057"/>
      <c r="N15" s="973"/>
      <c r="O15" s="973"/>
      <c r="P15" s="973"/>
      <c r="Q15" s="973"/>
      <c r="R15" s="973"/>
    </row>
    <row r="16" spans="1:18" ht="21.75" customHeight="1" x14ac:dyDescent="0.25">
      <c r="A16" s="643">
        <v>1</v>
      </c>
      <c r="B16" s="494" t="s">
        <v>100</v>
      </c>
      <c r="C16" s="495"/>
      <c r="D16" s="644">
        <v>1988</v>
      </c>
      <c r="E16" s="645" t="s">
        <v>10</v>
      </c>
      <c r="F16" s="646" t="s">
        <v>478</v>
      </c>
      <c r="G16" s="28"/>
      <c r="H16" s="472">
        <v>77.099999999999994</v>
      </c>
      <c r="I16" s="473">
        <v>143</v>
      </c>
      <c r="J16" s="577">
        <v>2</v>
      </c>
      <c r="K16" s="473">
        <v>161</v>
      </c>
      <c r="L16" s="471">
        <f t="shared" ref="L16:L27" si="0">K16/2</f>
        <v>80.5</v>
      </c>
      <c r="M16" s="578">
        <v>3</v>
      </c>
      <c r="N16" s="23">
        <f t="shared" ref="N16:N27" si="1">I16+L16</f>
        <v>223.5</v>
      </c>
      <c r="O16" s="166">
        <v>20</v>
      </c>
      <c r="P16" s="647" t="s">
        <v>10</v>
      </c>
      <c r="Q16" s="648" t="s">
        <v>513</v>
      </c>
      <c r="R16" s="649"/>
    </row>
    <row r="17" spans="1:18" s="171" customFormat="1" ht="21" customHeight="1" x14ac:dyDescent="0.25">
      <c r="A17" s="650">
        <v>2</v>
      </c>
      <c r="B17" s="489" t="s">
        <v>90</v>
      </c>
      <c r="C17" s="478"/>
      <c r="D17" s="161">
        <v>1987</v>
      </c>
      <c r="E17" s="505" t="s">
        <v>10</v>
      </c>
      <c r="F17" s="473" t="s">
        <v>32</v>
      </c>
      <c r="G17" s="53"/>
      <c r="H17" s="468">
        <v>75.849999999999994</v>
      </c>
      <c r="I17" s="469">
        <v>148</v>
      </c>
      <c r="J17" s="578">
        <v>1</v>
      </c>
      <c r="K17" s="469">
        <v>125</v>
      </c>
      <c r="L17" s="471">
        <f t="shared" si="0"/>
        <v>62.5</v>
      </c>
      <c r="M17" s="578">
        <v>8</v>
      </c>
      <c r="N17" s="23">
        <f t="shared" si="1"/>
        <v>210.5</v>
      </c>
      <c r="O17" s="23">
        <v>18</v>
      </c>
      <c r="P17" s="245" t="s">
        <v>10</v>
      </c>
      <c r="Q17" s="262" t="s">
        <v>389</v>
      </c>
      <c r="R17" s="634"/>
    </row>
    <row r="18" spans="1:18" s="167" customFormat="1" ht="18.75" customHeight="1" x14ac:dyDescent="0.25">
      <c r="A18" s="643">
        <v>3</v>
      </c>
      <c r="B18" s="489" t="s">
        <v>93</v>
      </c>
      <c r="C18" s="478"/>
      <c r="D18" s="480">
        <v>1987</v>
      </c>
      <c r="E18" s="505" t="s">
        <v>10</v>
      </c>
      <c r="F18" s="473" t="s">
        <v>360</v>
      </c>
      <c r="G18" s="53"/>
      <c r="H18" s="468">
        <v>76.25</v>
      </c>
      <c r="I18" s="469">
        <v>121</v>
      </c>
      <c r="J18" s="578">
        <v>3</v>
      </c>
      <c r="K18" s="469">
        <v>178</v>
      </c>
      <c r="L18" s="471">
        <f t="shared" si="0"/>
        <v>89</v>
      </c>
      <c r="M18" s="578">
        <v>1</v>
      </c>
      <c r="N18" s="23">
        <f t="shared" si="1"/>
        <v>210</v>
      </c>
      <c r="O18" s="39">
        <v>16</v>
      </c>
      <c r="P18" s="635" t="s">
        <v>10</v>
      </c>
      <c r="Q18" s="534" t="s">
        <v>210</v>
      </c>
      <c r="R18" s="19"/>
    </row>
    <row r="19" spans="1:18" s="167" customFormat="1" ht="19.899999999999999" customHeight="1" x14ac:dyDescent="0.25">
      <c r="A19" s="650">
        <v>4</v>
      </c>
      <c r="B19" s="390" t="s">
        <v>362</v>
      </c>
      <c r="C19" s="225"/>
      <c r="D19" s="283">
        <v>1989</v>
      </c>
      <c r="E19" s="228" t="s">
        <v>9</v>
      </c>
      <c r="F19" s="244" t="s">
        <v>493</v>
      </c>
      <c r="G19" s="372"/>
      <c r="H19" s="579">
        <v>77.400000000000006</v>
      </c>
      <c r="I19" s="228">
        <v>112</v>
      </c>
      <c r="J19" s="577">
        <v>6</v>
      </c>
      <c r="K19" s="228">
        <v>142</v>
      </c>
      <c r="L19" s="471">
        <f t="shared" si="0"/>
        <v>71</v>
      </c>
      <c r="M19" s="578">
        <v>5</v>
      </c>
      <c r="N19" s="23">
        <f t="shared" si="1"/>
        <v>183</v>
      </c>
      <c r="O19" s="39">
        <v>15</v>
      </c>
      <c r="P19" s="632" t="s">
        <v>9</v>
      </c>
      <c r="Q19" s="232" t="s">
        <v>303</v>
      </c>
      <c r="R19" s="19"/>
    </row>
    <row r="20" spans="1:18" s="167" customFormat="1" ht="18.75" customHeight="1" x14ac:dyDescent="0.25">
      <c r="A20" s="643">
        <v>5</v>
      </c>
      <c r="B20" s="389" t="s">
        <v>175</v>
      </c>
      <c r="C20" s="276"/>
      <c r="D20" s="227">
        <v>1997</v>
      </c>
      <c r="E20" s="231" t="s">
        <v>9</v>
      </c>
      <c r="F20" s="216" t="s">
        <v>176</v>
      </c>
      <c r="G20" s="231" t="s">
        <v>31</v>
      </c>
      <c r="H20" s="230">
        <v>75.7</v>
      </c>
      <c r="I20" s="228">
        <v>114</v>
      </c>
      <c r="J20" s="578">
        <v>4</v>
      </c>
      <c r="K20" s="228">
        <v>92</v>
      </c>
      <c r="L20" s="471">
        <f t="shared" si="0"/>
        <v>46</v>
      </c>
      <c r="M20" s="578">
        <v>11</v>
      </c>
      <c r="N20" s="23">
        <f t="shared" si="1"/>
        <v>160</v>
      </c>
      <c r="O20" s="23">
        <v>14</v>
      </c>
      <c r="P20" s="632" t="s">
        <v>9</v>
      </c>
      <c r="Q20" s="248" t="s">
        <v>368</v>
      </c>
      <c r="R20" s="19"/>
    </row>
    <row r="21" spans="1:18" s="167" customFormat="1" ht="17.25" customHeight="1" x14ac:dyDescent="0.25">
      <c r="A21" s="650">
        <v>6</v>
      </c>
      <c r="B21" s="606" t="s">
        <v>364</v>
      </c>
      <c r="C21" s="628"/>
      <c r="D21" s="505">
        <v>1987</v>
      </c>
      <c r="E21" s="469" t="s">
        <v>9</v>
      </c>
      <c r="F21" s="722" t="s">
        <v>32</v>
      </c>
      <c r="G21" s="741" t="s">
        <v>31</v>
      </c>
      <c r="H21" s="504">
        <v>77.05</v>
      </c>
      <c r="I21" s="505">
        <v>94</v>
      </c>
      <c r="J21" s="578">
        <v>8</v>
      </c>
      <c r="K21" s="505">
        <v>129</v>
      </c>
      <c r="L21" s="471">
        <f>K21/2</f>
        <v>64.5</v>
      </c>
      <c r="M21" s="578">
        <v>6</v>
      </c>
      <c r="N21" s="23">
        <f>I21+L21</f>
        <v>158.5</v>
      </c>
      <c r="O21" s="166">
        <v>13</v>
      </c>
      <c r="P21" s="632" t="s">
        <v>9</v>
      </c>
      <c r="Q21" s="489" t="s">
        <v>369</v>
      </c>
      <c r="R21" s="29"/>
    </row>
    <row r="22" spans="1:18" s="167" customFormat="1" ht="21.75" customHeight="1" x14ac:dyDescent="0.25">
      <c r="A22" s="643">
        <v>7</v>
      </c>
      <c r="B22" s="387" t="s">
        <v>363</v>
      </c>
      <c r="C22" s="225"/>
      <c r="D22" s="227">
        <v>1988</v>
      </c>
      <c r="E22" s="228" t="s">
        <v>9</v>
      </c>
      <c r="F22" s="627" t="s">
        <v>489</v>
      </c>
      <c r="G22" s="294"/>
      <c r="H22" s="230">
        <v>77.2</v>
      </c>
      <c r="I22" s="228">
        <v>112</v>
      </c>
      <c r="J22" s="577">
        <v>5</v>
      </c>
      <c r="K22" s="228">
        <v>93</v>
      </c>
      <c r="L22" s="471">
        <f>K22/2</f>
        <v>46.5</v>
      </c>
      <c r="M22" s="578">
        <v>10</v>
      </c>
      <c r="N22" s="23">
        <f>I22+L22</f>
        <v>158.5</v>
      </c>
      <c r="O22" s="23">
        <v>12</v>
      </c>
      <c r="P22" s="632" t="s">
        <v>9</v>
      </c>
      <c r="Q22" s="342" t="s">
        <v>367</v>
      </c>
      <c r="R22" s="29"/>
    </row>
    <row r="23" spans="1:18" s="171" customFormat="1" ht="21" customHeight="1" x14ac:dyDescent="0.25">
      <c r="A23" s="650">
        <v>8</v>
      </c>
      <c r="B23" s="387" t="s">
        <v>184</v>
      </c>
      <c r="C23" s="225"/>
      <c r="D23" s="227">
        <v>1984</v>
      </c>
      <c r="E23" s="228" t="s">
        <v>10</v>
      </c>
      <c r="F23" s="228" t="s">
        <v>489</v>
      </c>
      <c r="G23" s="216" t="s">
        <v>121</v>
      </c>
      <c r="H23" s="230">
        <v>75.05</v>
      </c>
      <c r="I23" s="228">
        <v>81</v>
      </c>
      <c r="J23" s="578">
        <v>10</v>
      </c>
      <c r="K23" s="228">
        <v>150</v>
      </c>
      <c r="L23" s="471">
        <f t="shared" si="0"/>
        <v>75</v>
      </c>
      <c r="M23" s="578">
        <v>4</v>
      </c>
      <c r="N23" s="23">
        <f t="shared" si="1"/>
        <v>156</v>
      </c>
      <c r="O23" s="166">
        <v>11</v>
      </c>
      <c r="P23" s="632" t="s">
        <v>9</v>
      </c>
      <c r="Q23" s="248" t="s">
        <v>29</v>
      </c>
      <c r="R23" s="19"/>
    </row>
    <row r="24" spans="1:18" s="171" customFormat="1" ht="15.75" customHeight="1" x14ac:dyDescent="0.25">
      <c r="A24" s="643">
        <v>9</v>
      </c>
      <c r="B24" s="503" t="s">
        <v>361</v>
      </c>
      <c r="C24" s="492"/>
      <c r="D24" s="362">
        <v>1993</v>
      </c>
      <c r="E24" s="362" t="s">
        <v>9</v>
      </c>
      <c r="F24" s="220" t="s">
        <v>218</v>
      </c>
      <c r="G24" s="220"/>
      <c r="H24" s="629">
        <v>75.55</v>
      </c>
      <c r="I24" s="719">
        <v>68</v>
      </c>
      <c r="J24" s="578">
        <v>12</v>
      </c>
      <c r="K24" s="467">
        <v>163</v>
      </c>
      <c r="L24" s="471">
        <f t="shared" si="0"/>
        <v>81.5</v>
      </c>
      <c r="M24" s="578">
        <v>2</v>
      </c>
      <c r="N24" s="23">
        <f t="shared" si="1"/>
        <v>149.5</v>
      </c>
      <c r="O24" s="23">
        <v>10</v>
      </c>
      <c r="P24" s="632" t="s">
        <v>9</v>
      </c>
      <c r="Q24" s="387" t="s">
        <v>366</v>
      </c>
      <c r="R24" s="29"/>
    </row>
    <row r="25" spans="1:18" s="171" customFormat="1" ht="16.5" customHeight="1" x14ac:dyDescent="0.25">
      <c r="A25" s="650">
        <v>10</v>
      </c>
      <c r="B25" s="651" t="s">
        <v>404</v>
      </c>
      <c r="C25" s="652"/>
      <c r="D25" s="721">
        <v>1990</v>
      </c>
      <c r="E25" s="654">
        <v>1</v>
      </c>
      <c r="F25" s="655" t="s">
        <v>403</v>
      </c>
      <c r="G25" s="655"/>
      <c r="H25" s="567">
        <v>75.3</v>
      </c>
      <c r="I25" s="675">
        <v>75</v>
      </c>
      <c r="J25" s="577">
        <v>11</v>
      </c>
      <c r="K25" s="675">
        <v>113</v>
      </c>
      <c r="L25" s="471">
        <f t="shared" si="0"/>
        <v>56.5</v>
      </c>
      <c r="M25" s="578">
        <v>9</v>
      </c>
      <c r="N25" s="23">
        <f t="shared" si="1"/>
        <v>131.5</v>
      </c>
      <c r="O25" s="166">
        <v>9</v>
      </c>
      <c r="P25" s="539" t="s">
        <v>8</v>
      </c>
      <c r="Q25" s="651" t="s">
        <v>405</v>
      </c>
      <c r="R25" s="19"/>
    </row>
    <row r="26" spans="1:18" s="171" customFormat="1" ht="16.5" customHeight="1" x14ac:dyDescent="0.25">
      <c r="A26" s="643">
        <v>11</v>
      </c>
      <c r="B26" s="637" t="s">
        <v>365</v>
      </c>
      <c r="C26" s="638"/>
      <c r="D26" s="724">
        <v>1993</v>
      </c>
      <c r="E26" s="639" t="s">
        <v>9</v>
      </c>
      <c r="F26" s="640" t="s">
        <v>32</v>
      </c>
      <c r="G26" s="640" t="s">
        <v>30</v>
      </c>
      <c r="H26" s="561">
        <v>77.150000000000006</v>
      </c>
      <c r="I26" s="562">
        <v>82</v>
      </c>
      <c r="J26" s="720">
        <v>9</v>
      </c>
      <c r="K26" s="562">
        <v>82</v>
      </c>
      <c r="L26" s="633">
        <f t="shared" si="0"/>
        <v>41</v>
      </c>
      <c r="M26" s="720">
        <v>12</v>
      </c>
      <c r="N26" s="641">
        <f t="shared" si="1"/>
        <v>123</v>
      </c>
      <c r="O26" s="723">
        <v>8</v>
      </c>
      <c r="P26" s="633" t="s">
        <v>8</v>
      </c>
      <c r="Q26" s="637" t="s">
        <v>370</v>
      </c>
      <c r="R26" s="642"/>
    </row>
    <row r="27" spans="1:18" s="171" customFormat="1" ht="17.25" customHeight="1" x14ac:dyDescent="0.25">
      <c r="A27" s="636" t="s">
        <v>507</v>
      </c>
      <c r="B27" s="489" t="s">
        <v>484</v>
      </c>
      <c r="C27" s="478"/>
      <c r="D27" s="161">
        <v>1998</v>
      </c>
      <c r="E27" s="505" t="s">
        <v>8</v>
      </c>
      <c r="F27" s="53" t="s">
        <v>33</v>
      </c>
      <c r="G27" s="53"/>
      <c r="H27" s="472">
        <v>76.400000000000006</v>
      </c>
      <c r="I27" s="664">
        <v>107</v>
      </c>
      <c r="J27" s="578">
        <v>7</v>
      </c>
      <c r="K27" s="469">
        <v>126</v>
      </c>
      <c r="L27" s="471">
        <f t="shared" si="0"/>
        <v>63</v>
      </c>
      <c r="M27" s="578">
        <v>7</v>
      </c>
      <c r="N27" s="23">
        <f t="shared" si="1"/>
        <v>170</v>
      </c>
      <c r="O27" s="39" t="s">
        <v>507</v>
      </c>
      <c r="P27" s="632" t="s">
        <v>443</v>
      </c>
      <c r="Q27" s="489" t="s">
        <v>514</v>
      </c>
      <c r="R27" s="169"/>
    </row>
    <row r="28" spans="1:18" s="167" customFormat="1" ht="15.75" customHeight="1" x14ac:dyDescent="0.25">
      <c r="A28" s="173"/>
      <c r="B28" s="174"/>
      <c r="C28" s="174"/>
      <c r="D28" s="175"/>
      <c r="E28" s="175"/>
      <c r="F28" s="176"/>
      <c r="G28" s="177"/>
      <c r="H28" s="178"/>
      <c r="I28" s="178"/>
      <c r="J28" s="178"/>
      <c r="K28" s="178"/>
      <c r="L28" s="179"/>
      <c r="M28" s="178"/>
      <c r="N28" s="180"/>
      <c r="O28" s="181"/>
      <c r="P28" s="182"/>
      <c r="Q28" s="183"/>
      <c r="R28" s="184"/>
    </row>
    <row r="29" spans="1:18" s="167" customFormat="1" ht="15.75" customHeight="1" x14ac:dyDescent="0.2">
      <c r="A29" s="1066" t="s">
        <v>498</v>
      </c>
      <c r="B29" s="1067"/>
      <c r="C29" s="1067"/>
      <c r="D29" s="1067"/>
      <c r="E29" s="1067"/>
      <c r="F29" s="1067"/>
      <c r="G29" s="1067"/>
      <c r="H29" s="1067"/>
      <c r="I29" s="1067"/>
      <c r="J29" s="1067"/>
      <c r="K29" s="1067"/>
      <c r="L29" s="1067"/>
      <c r="M29" s="1067"/>
      <c r="N29" s="1067"/>
      <c r="O29" s="1067"/>
      <c r="P29" s="1067"/>
      <c r="Q29" s="1067"/>
      <c r="R29" s="1067"/>
    </row>
    <row r="30" spans="1:18" s="167" customFormat="1" ht="15.75" customHeight="1" x14ac:dyDescent="0.25">
      <c r="A30" s="173"/>
      <c r="B30" s="174"/>
      <c r="C30" s="174"/>
      <c r="D30" s="175"/>
      <c r="E30" s="175"/>
      <c r="F30" s="176"/>
      <c r="G30" s="177"/>
      <c r="H30" s="178"/>
      <c r="I30" s="178"/>
      <c r="J30" s="178"/>
      <c r="K30" s="178"/>
      <c r="L30" s="179"/>
      <c r="M30" s="178"/>
      <c r="N30" s="180"/>
      <c r="O30" s="181"/>
      <c r="P30" s="182"/>
      <c r="Q30" s="183"/>
      <c r="R30" s="184"/>
    </row>
    <row r="31" spans="1:18" ht="13.5" x14ac:dyDescent="0.25">
      <c r="A31" s="214" t="s">
        <v>480</v>
      </c>
      <c r="B31" s="210"/>
      <c r="C31" s="210"/>
      <c r="D31" s="210"/>
      <c r="E31" s="210"/>
      <c r="F31" s="210"/>
      <c r="G31" s="210"/>
      <c r="H31" s="214" t="s">
        <v>40</v>
      </c>
      <c r="J31" s="17"/>
      <c r="K31" s="205"/>
      <c r="M31" s="475" t="s">
        <v>479</v>
      </c>
      <c r="N31" s="205"/>
      <c r="O31" s="517"/>
      <c r="P31" s="517"/>
      <c r="Q31" s="517"/>
      <c r="R31" s="517"/>
    </row>
    <row r="32" spans="1:18" ht="13.5" x14ac:dyDescent="0.25">
      <c r="A32" s="214"/>
      <c r="B32" s="383"/>
      <c r="C32" s="205"/>
      <c r="D32" s="17"/>
      <c r="E32" s="17"/>
      <c r="F32" s="17"/>
      <c r="G32" s="17"/>
      <c r="H32" s="214"/>
      <c r="J32" s="17"/>
      <c r="K32" s="205"/>
      <c r="L32" s="476"/>
      <c r="M32" s="17"/>
      <c r="N32" s="17"/>
    </row>
    <row r="33" spans="1:18" ht="13.5" x14ac:dyDescent="0.25">
      <c r="A33" s="214" t="s">
        <v>491</v>
      </c>
      <c r="B33" s="210"/>
      <c r="C33" s="210"/>
      <c r="D33" s="210"/>
      <c r="E33" s="210"/>
      <c r="F33" s="210"/>
      <c r="G33" s="210"/>
      <c r="H33" s="214" t="s">
        <v>41</v>
      </c>
      <c r="J33" s="210"/>
      <c r="M33" s="477" t="s">
        <v>481</v>
      </c>
      <c r="N33" s="205"/>
      <c r="O33" s="210"/>
      <c r="P33" s="210"/>
      <c r="Q33" s="210"/>
      <c r="R33" s="210"/>
    </row>
    <row r="35" spans="1:18" ht="15.75" x14ac:dyDescent="0.25">
      <c r="B35" s="24"/>
      <c r="I35" s="101"/>
      <c r="J35" s="36"/>
      <c r="K35" s="36"/>
      <c r="L35" s="101"/>
      <c r="M35" s="101"/>
      <c r="O35" s="101"/>
      <c r="P35" s="101"/>
      <c r="Q35" s="185"/>
      <c r="R35" s="17"/>
    </row>
    <row r="36" spans="1:18" ht="15.75" x14ac:dyDescent="0.25">
      <c r="I36" s="101"/>
      <c r="J36" s="101"/>
      <c r="K36" s="101"/>
      <c r="L36" s="101"/>
      <c r="M36" s="101"/>
      <c r="N36" s="101"/>
      <c r="O36" s="101"/>
      <c r="P36" s="101"/>
      <c r="Q36" s="185"/>
      <c r="R36" s="17"/>
    </row>
    <row r="37" spans="1:18" ht="15.75" x14ac:dyDescent="0.25">
      <c r="I37" s="101"/>
      <c r="J37" s="36"/>
      <c r="K37" s="36"/>
      <c r="L37" s="101"/>
      <c r="M37" s="101"/>
      <c r="O37" s="101"/>
      <c r="P37" s="101"/>
      <c r="Q37" s="185"/>
      <c r="R37" s="17"/>
    </row>
  </sheetData>
  <sheetProtection selectLockedCells="1" selectUnlockedCells="1"/>
  <sortState ref="B21:Q22">
    <sortCondition ref="H21:H22"/>
  </sortState>
  <mergeCells count="31">
    <mergeCell ref="A29:R29"/>
    <mergeCell ref="P14:P15"/>
    <mergeCell ref="Q14:R15"/>
    <mergeCell ref="I14:I15"/>
    <mergeCell ref="J14:J15"/>
    <mergeCell ref="K14:L14"/>
    <mergeCell ref="M14:M15"/>
    <mergeCell ref="N14:N15"/>
    <mergeCell ref="O14:O15"/>
    <mergeCell ref="D8:O8"/>
    <mergeCell ref="D9:O9"/>
    <mergeCell ref="D10:O10"/>
    <mergeCell ref="A14:A15"/>
    <mergeCell ref="B14:C15"/>
    <mergeCell ref="D14:D15"/>
    <mergeCell ref="E14:E15"/>
    <mergeCell ref="F14:F15"/>
    <mergeCell ref="G14:G15"/>
    <mergeCell ref="H14:H15"/>
    <mergeCell ref="A6:C6"/>
    <mergeCell ref="D6:O6"/>
    <mergeCell ref="P6:R6"/>
    <mergeCell ref="A7:C7"/>
    <mergeCell ref="D7:O7"/>
    <mergeCell ref="P7:R7"/>
    <mergeCell ref="A5:C5"/>
    <mergeCell ref="P5:R5"/>
    <mergeCell ref="A1:R1"/>
    <mergeCell ref="A2:R2"/>
    <mergeCell ref="A3:R3"/>
    <mergeCell ref="A4:R4"/>
  </mergeCells>
  <phoneticPr fontId="33" type="noConversion"/>
  <pageMargins left="7.874015748031496E-2" right="0.11811023622047245" top="0.23622047244094491" bottom="0.39370078740157483" header="0.51181102362204722" footer="0.51181102362204722"/>
  <pageSetup paperSize="9" scale="90" firstPageNumber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8"/>
  <sheetViews>
    <sheetView showWhiteSpace="0" zoomScaleSheetLayoutView="100" zoomScalePageLayoutView="85" workbookViewId="0">
      <selection activeCell="N14" sqref="N14:N15"/>
    </sheetView>
  </sheetViews>
  <sheetFormatPr defaultRowHeight="12.75" x14ac:dyDescent="0.2"/>
  <cols>
    <col min="1" max="1" width="6.7109375" customWidth="1"/>
    <col min="2" max="2" width="7.85546875" customWidth="1"/>
    <col min="3" max="3" width="17.42578125" customWidth="1"/>
    <col min="4" max="4" width="8.85546875" customWidth="1"/>
    <col min="5" max="5" width="7.28515625" customWidth="1"/>
    <col min="6" max="6" width="21.5703125" customWidth="1"/>
    <col min="7" max="7" width="9.7109375" customWidth="1"/>
    <col min="8" max="8" width="6.5703125" customWidth="1"/>
    <col min="9" max="13" width="5.85546875" customWidth="1"/>
    <col min="14" max="14" width="7.42578125" customWidth="1"/>
    <col min="15" max="15" width="5.85546875" customWidth="1"/>
    <col min="16" max="16" width="7.7109375" customWidth="1"/>
    <col min="17" max="17" width="10.140625" customWidth="1"/>
    <col min="18" max="18" width="19.140625" customWidth="1"/>
  </cols>
  <sheetData>
    <row r="1" spans="1:18" ht="15.75" customHeight="1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</row>
    <row r="2" spans="1:18" ht="15.75" customHeight="1" x14ac:dyDescent="0.2">
      <c r="A2" s="987" t="s">
        <v>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</row>
    <row r="3" spans="1:18" ht="15.75" customHeight="1" x14ac:dyDescent="0.2">
      <c r="A3" s="987" t="s">
        <v>110</v>
      </c>
      <c r="B3" s="987"/>
      <c r="C3" s="987"/>
      <c r="D3" s="987"/>
      <c r="E3" s="987"/>
      <c r="F3" s="987"/>
      <c r="G3" s="987"/>
      <c r="H3" s="987"/>
      <c r="I3" s="987"/>
      <c r="J3" s="987"/>
      <c r="K3" s="987"/>
      <c r="L3" s="987"/>
      <c r="M3" s="987"/>
      <c r="N3" s="987"/>
      <c r="O3" s="987"/>
      <c r="P3" s="987"/>
      <c r="Q3" s="987"/>
      <c r="R3" s="987"/>
    </row>
    <row r="4" spans="1:18" ht="15.75" customHeight="1" x14ac:dyDescent="0.2">
      <c r="A4" s="987" t="s">
        <v>111</v>
      </c>
      <c r="B4" s="987"/>
      <c r="C4" s="987"/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7"/>
      <c r="R4" s="987"/>
    </row>
    <row r="5" spans="1:18" ht="12" customHeight="1" x14ac:dyDescent="0.25">
      <c r="A5" s="970" t="s">
        <v>112</v>
      </c>
      <c r="B5" s="970"/>
      <c r="C5" s="970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970" t="s">
        <v>2</v>
      </c>
      <c r="Q5" s="1043"/>
      <c r="R5" s="1043"/>
    </row>
    <row r="6" spans="1:18" ht="15.75" customHeight="1" x14ac:dyDescent="0.25">
      <c r="A6" s="988" t="s">
        <v>457</v>
      </c>
      <c r="B6" s="988"/>
      <c r="C6" s="989"/>
      <c r="D6" s="983" t="s">
        <v>77</v>
      </c>
      <c r="E6" s="1043"/>
      <c r="F6" s="1043"/>
      <c r="G6" s="1043"/>
      <c r="H6" s="1043"/>
      <c r="I6" s="1043"/>
      <c r="J6" s="1043"/>
      <c r="K6" s="1043"/>
      <c r="L6" s="1043"/>
      <c r="M6" s="1043"/>
      <c r="N6" s="1043"/>
      <c r="O6" s="1043"/>
      <c r="P6" s="1044" t="s">
        <v>4</v>
      </c>
      <c r="Q6" s="1045"/>
      <c r="R6" s="1045"/>
    </row>
    <row r="7" spans="1:18" ht="15.75" customHeight="1" x14ac:dyDescent="0.25">
      <c r="A7" s="1046" t="s">
        <v>5</v>
      </c>
      <c r="B7" s="1047"/>
      <c r="C7" s="1048"/>
      <c r="D7" s="983" t="s">
        <v>78</v>
      </c>
      <c r="E7" s="983"/>
      <c r="F7" s="983"/>
      <c r="G7" s="983"/>
      <c r="H7" s="983"/>
      <c r="I7" s="983"/>
      <c r="J7" s="983"/>
      <c r="K7" s="983"/>
      <c r="L7" s="983"/>
      <c r="M7" s="983"/>
      <c r="N7" s="983"/>
      <c r="O7" s="983"/>
      <c r="P7" s="974" t="s">
        <v>7</v>
      </c>
      <c r="Q7" s="974"/>
      <c r="R7" s="974"/>
    </row>
    <row r="8" spans="1:18" ht="15.75" customHeight="1" x14ac:dyDescent="0.25">
      <c r="A8" s="159" t="s">
        <v>22</v>
      </c>
      <c r="B8" s="159" t="s">
        <v>79</v>
      </c>
      <c r="C8" s="159" t="s">
        <v>80</v>
      </c>
      <c r="D8" s="983" t="s">
        <v>117</v>
      </c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160" t="s">
        <v>8</v>
      </c>
      <c r="Q8" s="160" t="s">
        <v>9</v>
      </c>
      <c r="R8" s="160" t="s">
        <v>10</v>
      </c>
    </row>
    <row r="9" spans="1:18" ht="15.75" customHeight="1" x14ac:dyDescent="0.25">
      <c r="A9" s="161">
        <v>166</v>
      </c>
      <c r="B9" s="161">
        <v>206</v>
      </c>
      <c r="C9" s="363">
        <v>266</v>
      </c>
      <c r="D9" s="983" t="s">
        <v>81</v>
      </c>
      <c r="E9" s="983"/>
      <c r="F9" s="983"/>
      <c r="G9" s="983"/>
      <c r="H9" s="983"/>
      <c r="I9" s="983"/>
      <c r="J9" s="983"/>
      <c r="K9" s="983"/>
      <c r="L9" s="983"/>
      <c r="M9" s="983"/>
      <c r="N9" s="983"/>
      <c r="O9" s="983"/>
      <c r="P9" s="4">
        <v>111</v>
      </c>
      <c r="Q9" s="4">
        <v>150</v>
      </c>
      <c r="R9" s="4">
        <v>215</v>
      </c>
    </row>
    <row r="10" spans="1:18" ht="15.75" customHeight="1" thickBot="1" x14ac:dyDescent="0.25">
      <c r="A10" s="11"/>
      <c r="B10" s="11"/>
      <c r="C10" s="11"/>
      <c r="D10" s="1049" t="s">
        <v>393</v>
      </c>
      <c r="E10" s="1049"/>
      <c r="F10" s="1049"/>
      <c r="G10" s="1049"/>
      <c r="H10" s="1049"/>
      <c r="I10" s="1049"/>
      <c r="J10" s="1049"/>
      <c r="K10" s="1049"/>
      <c r="L10" s="1049"/>
      <c r="M10" s="1049"/>
      <c r="N10" s="1049"/>
      <c r="O10" s="1049"/>
      <c r="P10" s="11"/>
      <c r="Q10" s="11"/>
      <c r="R10" s="11"/>
    </row>
    <row r="11" spans="1:18" ht="15.75" customHeight="1" x14ac:dyDescent="0.25">
      <c r="A11" s="11"/>
      <c r="B11" s="7" t="s">
        <v>13</v>
      </c>
      <c r="C11" s="8"/>
      <c r="D11" s="9"/>
      <c r="E11" s="10">
        <v>44</v>
      </c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1"/>
      <c r="Q11" s="11"/>
      <c r="R11" s="11"/>
    </row>
    <row r="12" spans="1:18" ht="15.75" customHeight="1" thickBot="1" x14ac:dyDescent="0.3">
      <c r="A12" s="11"/>
      <c r="B12" s="13" t="s">
        <v>14</v>
      </c>
      <c r="C12" s="14"/>
      <c r="D12" s="15"/>
      <c r="E12" s="16">
        <v>270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1"/>
      <c r="Q12" s="11"/>
      <c r="R12" s="11"/>
    </row>
    <row r="13" spans="1:18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2" customHeight="1" x14ac:dyDescent="0.2">
      <c r="A14" s="1058" t="s">
        <v>15</v>
      </c>
      <c r="B14" s="972" t="s">
        <v>55</v>
      </c>
      <c r="C14" s="972"/>
      <c r="D14" s="972" t="s">
        <v>17</v>
      </c>
      <c r="E14" s="972" t="s">
        <v>18</v>
      </c>
      <c r="F14" s="972" t="s">
        <v>19</v>
      </c>
      <c r="G14" s="973" t="s">
        <v>20</v>
      </c>
      <c r="H14" s="972" t="s">
        <v>21</v>
      </c>
      <c r="I14" s="972" t="s">
        <v>22</v>
      </c>
      <c r="J14" s="972" t="s">
        <v>15</v>
      </c>
      <c r="K14" s="1059" t="s">
        <v>46</v>
      </c>
      <c r="L14" s="1059"/>
      <c r="M14" s="1059" t="s">
        <v>15</v>
      </c>
      <c r="N14" s="972" t="s">
        <v>83</v>
      </c>
      <c r="O14" s="972" t="s">
        <v>23</v>
      </c>
      <c r="P14" s="1060" t="s">
        <v>24</v>
      </c>
      <c r="Q14" s="1069" t="s">
        <v>25</v>
      </c>
      <c r="R14" s="1069"/>
    </row>
    <row r="15" spans="1:18" ht="12" customHeight="1" x14ac:dyDescent="0.2">
      <c r="A15" s="1058"/>
      <c r="B15" s="973"/>
      <c r="C15" s="973"/>
      <c r="D15" s="973"/>
      <c r="E15" s="973"/>
      <c r="F15" s="973"/>
      <c r="G15" s="979"/>
      <c r="H15" s="973"/>
      <c r="I15" s="973"/>
      <c r="J15" s="973"/>
      <c r="K15" s="217" t="s">
        <v>84</v>
      </c>
      <c r="L15" s="217" t="s">
        <v>85</v>
      </c>
      <c r="M15" s="1057"/>
      <c r="N15" s="973"/>
      <c r="O15" s="973"/>
      <c r="P15" s="1068"/>
      <c r="Q15" s="1070"/>
      <c r="R15" s="1070"/>
    </row>
    <row r="16" spans="1:18" ht="15" customHeight="1" x14ac:dyDescent="0.25">
      <c r="A16" s="18">
        <v>1</v>
      </c>
      <c r="B16" s="392" t="s">
        <v>371</v>
      </c>
      <c r="C16" s="302"/>
      <c r="D16" s="667">
        <v>1979</v>
      </c>
      <c r="E16" s="668" t="s">
        <v>223</v>
      </c>
      <c r="F16" s="669" t="s">
        <v>166</v>
      </c>
      <c r="G16" s="471" t="s">
        <v>31</v>
      </c>
      <c r="H16" s="470">
        <v>85</v>
      </c>
      <c r="I16" s="471">
        <v>132</v>
      </c>
      <c r="J16" s="577">
        <v>1</v>
      </c>
      <c r="K16" s="471">
        <v>188</v>
      </c>
      <c r="L16" s="471">
        <f t="shared" ref="L16:L31" si="0">K16/2</f>
        <v>94</v>
      </c>
      <c r="M16" s="471">
        <v>1</v>
      </c>
      <c r="N16" s="657">
        <f t="shared" ref="N16:N31" si="1">I16+L16</f>
        <v>226</v>
      </c>
      <c r="O16" s="658">
        <v>20</v>
      </c>
      <c r="P16" s="670" t="s">
        <v>10</v>
      </c>
      <c r="Q16" s="218" t="s">
        <v>380</v>
      </c>
      <c r="R16" s="218"/>
    </row>
    <row r="17" spans="1:18" s="167" customFormat="1" ht="21.75" customHeight="1" x14ac:dyDescent="0.25">
      <c r="A17" s="18">
        <f t="shared" ref="A17:A31" si="2">A16+1</f>
        <v>2</v>
      </c>
      <c r="B17" s="594" t="s">
        <v>62</v>
      </c>
      <c r="C17" s="478"/>
      <c r="D17" s="161">
        <v>1987</v>
      </c>
      <c r="E17" s="231" t="s">
        <v>10</v>
      </c>
      <c r="F17" s="469" t="s">
        <v>32</v>
      </c>
      <c r="G17" s="469"/>
      <c r="H17" s="468">
        <v>84.95</v>
      </c>
      <c r="I17" s="469">
        <v>123</v>
      </c>
      <c r="J17" s="578">
        <v>4</v>
      </c>
      <c r="K17" s="469">
        <v>187</v>
      </c>
      <c r="L17" s="471">
        <f t="shared" si="0"/>
        <v>93.5</v>
      </c>
      <c r="M17" s="578">
        <v>2</v>
      </c>
      <c r="N17" s="657">
        <f t="shared" si="1"/>
        <v>216.5</v>
      </c>
      <c r="O17" s="657">
        <v>18</v>
      </c>
      <c r="P17" s="231" t="s">
        <v>10</v>
      </c>
      <c r="Q17" s="665" t="s">
        <v>517</v>
      </c>
      <c r="R17" s="666"/>
    </row>
    <row r="18" spans="1:18" s="167" customFormat="1" ht="15.75" customHeight="1" x14ac:dyDescent="0.25">
      <c r="A18" s="18">
        <f t="shared" si="2"/>
        <v>3</v>
      </c>
      <c r="B18" s="671" t="s">
        <v>372</v>
      </c>
      <c r="C18" s="225"/>
      <c r="D18" s="228">
        <v>1976</v>
      </c>
      <c r="E18" s="231" t="s">
        <v>9</v>
      </c>
      <c r="F18" s="245" t="s">
        <v>86</v>
      </c>
      <c r="G18" s="661" t="s">
        <v>31</v>
      </c>
      <c r="H18" s="579">
        <v>82.9</v>
      </c>
      <c r="I18" s="228">
        <v>125</v>
      </c>
      <c r="J18" s="578">
        <v>3</v>
      </c>
      <c r="K18" s="228">
        <v>167</v>
      </c>
      <c r="L18" s="471">
        <f t="shared" si="0"/>
        <v>83.5</v>
      </c>
      <c r="M18" s="471">
        <v>5</v>
      </c>
      <c r="N18" s="657">
        <f t="shared" si="1"/>
        <v>208.5</v>
      </c>
      <c r="O18" s="659">
        <v>16</v>
      </c>
      <c r="P18" s="231" t="s">
        <v>9</v>
      </c>
      <c r="Q18" s="300" t="s">
        <v>212</v>
      </c>
      <c r="R18" s="19"/>
    </row>
    <row r="19" spans="1:18" s="167" customFormat="1" ht="15.75" customHeight="1" x14ac:dyDescent="0.25">
      <c r="A19" s="18">
        <f t="shared" si="2"/>
        <v>4</v>
      </c>
      <c r="B19" s="656" t="s">
        <v>374</v>
      </c>
      <c r="C19" s="225"/>
      <c r="D19" s="227">
        <v>1994</v>
      </c>
      <c r="E19" s="228" t="s">
        <v>9</v>
      </c>
      <c r="F19" s="228" t="s">
        <v>353</v>
      </c>
      <c r="G19" s="663"/>
      <c r="H19" s="230">
        <v>84.2</v>
      </c>
      <c r="I19" s="228">
        <v>121</v>
      </c>
      <c r="J19" s="577">
        <v>5</v>
      </c>
      <c r="K19" s="228">
        <v>171</v>
      </c>
      <c r="L19" s="471">
        <f t="shared" si="0"/>
        <v>85.5</v>
      </c>
      <c r="M19" s="471">
        <v>3</v>
      </c>
      <c r="N19" s="657">
        <f t="shared" si="1"/>
        <v>206.5</v>
      </c>
      <c r="O19" s="659">
        <v>15</v>
      </c>
      <c r="P19" s="231" t="s">
        <v>9</v>
      </c>
      <c r="Q19" s="345" t="s">
        <v>230</v>
      </c>
      <c r="R19" s="19"/>
    </row>
    <row r="20" spans="1:18" s="167" customFormat="1" ht="15.75" customHeight="1" x14ac:dyDescent="0.25">
      <c r="A20" s="18">
        <f t="shared" si="2"/>
        <v>5</v>
      </c>
      <c r="B20" s="672" t="s">
        <v>97</v>
      </c>
      <c r="C20" s="478"/>
      <c r="D20" s="480">
        <v>1993</v>
      </c>
      <c r="E20" s="469" t="s">
        <v>9</v>
      </c>
      <c r="F20" s="712" t="s">
        <v>515</v>
      </c>
      <c r="G20" s="590"/>
      <c r="H20" s="713">
        <v>84.45</v>
      </c>
      <c r="I20" s="469">
        <v>127</v>
      </c>
      <c r="J20" s="578">
        <v>2</v>
      </c>
      <c r="K20" s="469">
        <v>144</v>
      </c>
      <c r="L20" s="471">
        <f t="shared" si="0"/>
        <v>72</v>
      </c>
      <c r="M20" s="578">
        <v>10</v>
      </c>
      <c r="N20" s="657">
        <f t="shared" si="1"/>
        <v>199</v>
      </c>
      <c r="O20" s="659">
        <v>14</v>
      </c>
      <c r="P20" s="469" t="s">
        <v>9</v>
      </c>
      <c r="Q20" s="715" t="s">
        <v>381</v>
      </c>
      <c r="R20" s="288"/>
    </row>
    <row r="21" spans="1:18" s="167" customFormat="1" ht="15.75" customHeight="1" x14ac:dyDescent="0.25">
      <c r="A21" s="18">
        <f t="shared" si="2"/>
        <v>6</v>
      </c>
      <c r="B21" s="671" t="s">
        <v>373</v>
      </c>
      <c r="C21" s="225"/>
      <c r="D21" s="283">
        <v>1992</v>
      </c>
      <c r="E21" s="228" t="s">
        <v>9</v>
      </c>
      <c r="F21" s="228" t="s">
        <v>493</v>
      </c>
      <c r="G21" s="228"/>
      <c r="H21" s="579">
        <v>81.7</v>
      </c>
      <c r="I21" s="228">
        <v>109</v>
      </c>
      <c r="J21" s="578">
        <v>7</v>
      </c>
      <c r="K21" s="228">
        <v>170</v>
      </c>
      <c r="L21" s="471">
        <f t="shared" si="0"/>
        <v>85</v>
      </c>
      <c r="M21" s="578">
        <v>4</v>
      </c>
      <c r="N21" s="657">
        <f t="shared" si="1"/>
        <v>194</v>
      </c>
      <c r="O21" s="659">
        <v>13</v>
      </c>
      <c r="P21" s="231" t="s">
        <v>9</v>
      </c>
      <c r="Q21" s="257" t="s">
        <v>520</v>
      </c>
      <c r="R21" s="19"/>
    </row>
    <row r="22" spans="1:18" s="167" customFormat="1" ht="18.75" customHeight="1" x14ac:dyDescent="0.25">
      <c r="A22" s="18">
        <f t="shared" si="2"/>
        <v>7</v>
      </c>
      <c r="B22" s="594" t="s">
        <v>73</v>
      </c>
      <c r="C22" s="478"/>
      <c r="D22" s="480">
        <v>1989</v>
      </c>
      <c r="E22" s="469" t="s">
        <v>10</v>
      </c>
      <c r="F22" s="473" t="s">
        <v>35</v>
      </c>
      <c r="G22" s="469"/>
      <c r="H22" s="468">
        <v>80.3</v>
      </c>
      <c r="I22" s="469">
        <v>110</v>
      </c>
      <c r="J22" s="578">
        <v>6</v>
      </c>
      <c r="K22" s="469">
        <v>163</v>
      </c>
      <c r="L22" s="471">
        <f t="shared" si="0"/>
        <v>81.5</v>
      </c>
      <c r="M22" s="471">
        <v>7</v>
      </c>
      <c r="N22" s="657">
        <f t="shared" si="1"/>
        <v>191.5</v>
      </c>
      <c r="O22" s="659">
        <v>12</v>
      </c>
      <c r="P22" s="473" t="s">
        <v>9</v>
      </c>
      <c r="Q22" s="382" t="s">
        <v>518</v>
      </c>
      <c r="R22" s="29"/>
    </row>
    <row r="23" spans="1:18" s="167" customFormat="1" ht="21" customHeight="1" x14ac:dyDescent="0.25">
      <c r="A23" s="18">
        <f t="shared" si="2"/>
        <v>8</v>
      </c>
      <c r="B23" s="671" t="s">
        <v>66</v>
      </c>
      <c r="C23" s="225"/>
      <c r="D23" s="283">
        <v>1993</v>
      </c>
      <c r="E23" s="228" t="s">
        <v>9</v>
      </c>
      <c r="F23" s="285" t="s">
        <v>417</v>
      </c>
      <c r="G23" s="228"/>
      <c r="H23" s="579">
        <v>83.1</v>
      </c>
      <c r="I23" s="228">
        <v>109</v>
      </c>
      <c r="J23" s="578">
        <v>8</v>
      </c>
      <c r="K23" s="228">
        <v>165</v>
      </c>
      <c r="L23" s="471">
        <f t="shared" si="0"/>
        <v>82.5</v>
      </c>
      <c r="M23" s="578">
        <v>6</v>
      </c>
      <c r="N23" s="657">
        <f t="shared" si="1"/>
        <v>191.5</v>
      </c>
      <c r="O23" s="659">
        <v>11</v>
      </c>
      <c r="P23" s="245" t="s">
        <v>9</v>
      </c>
      <c r="Q23" s="714" t="s">
        <v>418</v>
      </c>
      <c r="R23" s="716"/>
    </row>
    <row r="24" spans="1:18" s="167" customFormat="1" ht="21" customHeight="1" x14ac:dyDescent="0.25">
      <c r="A24" s="18">
        <f t="shared" si="2"/>
        <v>9</v>
      </c>
      <c r="B24" s="671" t="s">
        <v>377</v>
      </c>
      <c r="C24" s="225"/>
      <c r="D24" s="283">
        <v>1996</v>
      </c>
      <c r="E24" s="278" t="s">
        <v>9</v>
      </c>
      <c r="F24" s="231" t="s">
        <v>86</v>
      </c>
      <c r="G24" s="231" t="s">
        <v>31</v>
      </c>
      <c r="H24" s="579">
        <v>81.650000000000006</v>
      </c>
      <c r="I24" s="228">
        <v>99</v>
      </c>
      <c r="J24" s="578">
        <v>10</v>
      </c>
      <c r="K24" s="228">
        <v>159</v>
      </c>
      <c r="L24" s="471">
        <f t="shared" si="0"/>
        <v>79.5</v>
      </c>
      <c r="M24" s="578">
        <v>8</v>
      </c>
      <c r="N24" s="657">
        <f t="shared" si="1"/>
        <v>178.5</v>
      </c>
      <c r="O24" s="659">
        <v>10</v>
      </c>
      <c r="P24" s="590" t="s">
        <v>9</v>
      </c>
      <c r="Q24" s="241" t="s">
        <v>383</v>
      </c>
      <c r="R24" s="19"/>
    </row>
    <row r="25" spans="1:18" s="171" customFormat="1" ht="21" customHeight="1" x14ac:dyDescent="0.25">
      <c r="A25" s="18">
        <f t="shared" si="2"/>
        <v>10</v>
      </c>
      <c r="B25" s="671" t="s">
        <v>378</v>
      </c>
      <c r="C25" s="225"/>
      <c r="D25" s="283">
        <v>1989</v>
      </c>
      <c r="E25" s="231" t="s">
        <v>8</v>
      </c>
      <c r="F25" s="228" t="s">
        <v>36</v>
      </c>
      <c r="G25" s="228" t="s">
        <v>31</v>
      </c>
      <c r="H25" s="579">
        <v>83.85</v>
      </c>
      <c r="I25" s="228">
        <v>86</v>
      </c>
      <c r="J25" s="578">
        <v>14</v>
      </c>
      <c r="K25" s="228">
        <v>157</v>
      </c>
      <c r="L25" s="471">
        <f t="shared" si="0"/>
        <v>78.5</v>
      </c>
      <c r="M25" s="471">
        <v>9</v>
      </c>
      <c r="N25" s="657">
        <f t="shared" si="1"/>
        <v>164.5</v>
      </c>
      <c r="O25" s="659">
        <v>9</v>
      </c>
      <c r="P25" s="469" t="s">
        <v>443</v>
      </c>
      <c r="Q25" s="678" t="s">
        <v>128</v>
      </c>
      <c r="R25" s="660"/>
    </row>
    <row r="26" spans="1:18" s="171" customFormat="1" ht="21" customHeight="1" x14ac:dyDescent="0.25">
      <c r="A26" s="18">
        <f t="shared" si="2"/>
        <v>11</v>
      </c>
      <c r="B26" s="673" t="s">
        <v>375</v>
      </c>
      <c r="C26" s="492"/>
      <c r="D26" s="362">
        <v>1987</v>
      </c>
      <c r="E26" s="362" t="s">
        <v>9</v>
      </c>
      <c r="F26" s="662" t="s">
        <v>516</v>
      </c>
      <c r="G26" s="466"/>
      <c r="H26" s="465">
        <v>83.6</v>
      </c>
      <c r="I26" s="466">
        <v>90</v>
      </c>
      <c r="J26" s="577">
        <v>13</v>
      </c>
      <c r="K26" s="466">
        <v>135</v>
      </c>
      <c r="L26" s="471">
        <f t="shared" si="0"/>
        <v>67.5</v>
      </c>
      <c r="M26" s="578">
        <v>11</v>
      </c>
      <c r="N26" s="657">
        <f t="shared" si="1"/>
        <v>157.5</v>
      </c>
      <c r="O26" s="659">
        <v>8</v>
      </c>
      <c r="P26" s="473" t="s">
        <v>9</v>
      </c>
      <c r="Q26" s="284" t="s">
        <v>366</v>
      </c>
      <c r="R26" s="19"/>
    </row>
    <row r="27" spans="1:18" s="171" customFormat="1" ht="21" customHeight="1" x14ac:dyDescent="0.25">
      <c r="A27" s="18">
        <f t="shared" si="2"/>
        <v>12</v>
      </c>
      <c r="B27" s="674" t="s">
        <v>376</v>
      </c>
      <c r="C27" s="628"/>
      <c r="D27" s="505">
        <v>1993</v>
      </c>
      <c r="E27" s="469" t="s">
        <v>9</v>
      </c>
      <c r="F27" s="469" t="s">
        <v>194</v>
      </c>
      <c r="G27" s="505"/>
      <c r="H27" s="504">
        <v>84.55</v>
      </c>
      <c r="I27" s="505">
        <v>100</v>
      </c>
      <c r="J27" s="578">
        <v>9</v>
      </c>
      <c r="K27" s="505">
        <v>114</v>
      </c>
      <c r="L27" s="471">
        <f t="shared" si="0"/>
        <v>57</v>
      </c>
      <c r="M27" s="578">
        <v>14</v>
      </c>
      <c r="N27" s="657">
        <f t="shared" si="1"/>
        <v>157</v>
      </c>
      <c r="O27" s="659">
        <v>7</v>
      </c>
      <c r="P27" s="469" t="s">
        <v>9</v>
      </c>
      <c r="Q27" s="41" t="s">
        <v>173</v>
      </c>
      <c r="R27" s="19"/>
    </row>
    <row r="28" spans="1:18" s="171" customFormat="1" ht="21" customHeight="1" x14ac:dyDescent="0.25">
      <c r="A28" s="18">
        <f t="shared" si="2"/>
        <v>13</v>
      </c>
      <c r="B28" s="674" t="s">
        <v>379</v>
      </c>
      <c r="C28" s="628"/>
      <c r="D28" s="505">
        <v>1996</v>
      </c>
      <c r="E28" s="572" t="s">
        <v>9</v>
      </c>
      <c r="F28" s="469" t="s">
        <v>35</v>
      </c>
      <c r="G28" s="505"/>
      <c r="H28" s="504">
        <v>84.35</v>
      </c>
      <c r="I28" s="505">
        <v>91</v>
      </c>
      <c r="J28" s="577">
        <v>12</v>
      </c>
      <c r="K28" s="505">
        <v>127</v>
      </c>
      <c r="L28" s="471">
        <f t="shared" si="0"/>
        <v>63.5</v>
      </c>
      <c r="M28" s="471">
        <v>13</v>
      </c>
      <c r="N28" s="657">
        <f t="shared" si="1"/>
        <v>154.5</v>
      </c>
      <c r="O28" s="659">
        <v>6</v>
      </c>
      <c r="P28" s="469" t="s">
        <v>9</v>
      </c>
      <c r="Q28" s="41" t="s">
        <v>384</v>
      </c>
      <c r="R28" s="19"/>
    </row>
    <row r="29" spans="1:18" s="171" customFormat="1" ht="21" customHeight="1" x14ac:dyDescent="0.25">
      <c r="A29" s="18">
        <f t="shared" si="2"/>
        <v>14</v>
      </c>
      <c r="B29" s="594" t="s">
        <v>61</v>
      </c>
      <c r="C29" s="478"/>
      <c r="D29" s="508">
        <v>1994</v>
      </c>
      <c r="E29" s="473" t="s">
        <v>9</v>
      </c>
      <c r="F29" s="664" t="s">
        <v>32</v>
      </c>
      <c r="G29" s="469" t="s">
        <v>249</v>
      </c>
      <c r="H29" s="468">
        <v>80.3</v>
      </c>
      <c r="I29" s="469">
        <v>80</v>
      </c>
      <c r="J29" s="471">
        <v>15</v>
      </c>
      <c r="K29" s="469">
        <v>133</v>
      </c>
      <c r="L29" s="471">
        <f t="shared" si="0"/>
        <v>66.5</v>
      </c>
      <c r="M29" s="471">
        <v>12</v>
      </c>
      <c r="N29" s="657">
        <f t="shared" si="1"/>
        <v>146.5</v>
      </c>
      <c r="O29" s="659">
        <v>5</v>
      </c>
      <c r="P29" s="231" t="s">
        <v>8</v>
      </c>
      <c r="Q29" s="41" t="s">
        <v>382</v>
      </c>
      <c r="R29" s="169"/>
    </row>
    <row r="30" spans="1:18" s="171" customFormat="1" ht="21" customHeight="1" x14ac:dyDescent="0.25">
      <c r="A30" s="18">
        <f t="shared" si="2"/>
        <v>15</v>
      </c>
      <c r="B30" s="656" t="s">
        <v>398</v>
      </c>
      <c r="C30" s="225"/>
      <c r="D30" s="227">
        <v>1988</v>
      </c>
      <c r="E30" s="228" t="s">
        <v>9</v>
      </c>
      <c r="F30" s="228" t="s">
        <v>489</v>
      </c>
      <c r="G30" s="469"/>
      <c r="H30" s="468">
        <v>82.55</v>
      </c>
      <c r="I30" s="469">
        <v>96</v>
      </c>
      <c r="J30" s="578">
        <v>11</v>
      </c>
      <c r="K30" s="469">
        <v>85</v>
      </c>
      <c r="L30" s="471">
        <f t="shared" si="0"/>
        <v>42.5</v>
      </c>
      <c r="M30" s="471">
        <v>15</v>
      </c>
      <c r="N30" s="657">
        <f t="shared" si="1"/>
        <v>138.5</v>
      </c>
      <c r="O30" s="659">
        <v>4</v>
      </c>
      <c r="P30" s="245" t="s">
        <v>8</v>
      </c>
      <c r="Q30" s="248" t="s">
        <v>29</v>
      </c>
      <c r="R30" s="272"/>
    </row>
    <row r="31" spans="1:18" s="171" customFormat="1" ht="21" customHeight="1" x14ac:dyDescent="0.25">
      <c r="A31" s="18">
        <f t="shared" si="2"/>
        <v>16</v>
      </c>
      <c r="B31" s="540" t="s">
        <v>399</v>
      </c>
      <c r="C31" s="652"/>
      <c r="D31" s="653">
        <v>1994</v>
      </c>
      <c r="E31" s="675">
        <v>1</v>
      </c>
      <c r="F31" s="675" t="s">
        <v>486</v>
      </c>
      <c r="G31" s="675" t="s">
        <v>31</v>
      </c>
      <c r="H31" s="567">
        <v>84.6</v>
      </c>
      <c r="I31" s="675">
        <v>74</v>
      </c>
      <c r="J31" s="578">
        <v>16</v>
      </c>
      <c r="K31" s="675">
        <v>78</v>
      </c>
      <c r="L31" s="471">
        <f t="shared" si="0"/>
        <v>39</v>
      </c>
      <c r="M31" s="578">
        <v>16</v>
      </c>
      <c r="N31" s="657">
        <f t="shared" si="1"/>
        <v>113</v>
      </c>
      <c r="O31" s="659">
        <v>3</v>
      </c>
      <c r="P31" s="245" t="s">
        <v>8</v>
      </c>
      <c r="Q31" s="676" t="s">
        <v>400</v>
      </c>
      <c r="R31" s="29"/>
    </row>
    <row r="32" spans="1:18" ht="24.75" customHeight="1" x14ac:dyDescent="0.25">
      <c r="A32" s="214" t="s">
        <v>480</v>
      </c>
      <c r="B32" s="210"/>
      <c r="C32" s="210"/>
      <c r="D32" s="210"/>
      <c r="E32" s="210"/>
      <c r="F32" s="210"/>
      <c r="G32" s="210"/>
      <c r="H32" s="214" t="s">
        <v>40</v>
      </c>
      <c r="J32" s="17"/>
      <c r="K32" s="205"/>
      <c r="M32" s="475" t="s">
        <v>479</v>
      </c>
      <c r="N32" s="205"/>
      <c r="O32" s="517"/>
      <c r="P32" s="517"/>
      <c r="Q32" s="517"/>
      <c r="R32" s="517"/>
    </row>
    <row r="33" spans="1:18" ht="13.5" x14ac:dyDescent="0.25">
      <c r="A33" s="214"/>
      <c r="B33" s="383"/>
      <c r="C33" s="205"/>
      <c r="D33" s="17"/>
      <c r="E33" s="17"/>
      <c r="F33" s="17"/>
      <c r="G33" s="17"/>
      <c r="H33" s="214"/>
      <c r="J33" s="17"/>
      <c r="K33" s="205"/>
      <c r="L33" s="476"/>
      <c r="M33" s="17"/>
      <c r="N33" s="17"/>
    </row>
    <row r="34" spans="1:18" ht="13.5" x14ac:dyDescent="0.25">
      <c r="A34" s="214" t="s">
        <v>491</v>
      </c>
      <c r="B34" s="210"/>
      <c r="C34" s="210"/>
      <c r="D34" s="210"/>
      <c r="E34" s="210"/>
      <c r="F34" s="210"/>
      <c r="G34" s="210"/>
      <c r="H34" s="214" t="s">
        <v>41</v>
      </c>
      <c r="J34" s="210"/>
      <c r="M34" s="477" t="s">
        <v>481</v>
      </c>
      <c r="N34" s="205"/>
      <c r="O34" s="210"/>
      <c r="P34" s="210"/>
      <c r="Q34" s="210"/>
      <c r="R34" s="210"/>
    </row>
    <row r="36" spans="1:18" ht="15.75" x14ac:dyDescent="0.25">
      <c r="B36" s="36"/>
      <c r="I36" s="101"/>
      <c r="J36" s="36"/>
      <c r="K36" s="36"/>
      <c r="L36" s="101"/>
      <c r="M36" s="101"/>
      <c r="O36" s="101"/>
      <c r="P36" s="101"/>
      <c r="Q36" s="185"/>
      <c r="R36" s="17"/>
    </row>
    <row r="37" spans="1:18" ht="15.75" x14ac:dyDescent="0.25">
      <c r="I37" s="101"/>
      <c r="J37" s="101"/>
      <c r="K37" s="101"/>
      <c r="L37" s="101"/>
      <c r="M37" s="101"/>
      <c r="N37" s="101"/>
      <c r="O37" s="101"/>
      <c r="P37" s="101"/>
      <c r="Q37" s="185"/>
      <c r="R37" s="17"/>
    </row>
    <row r="38" spans="1:18" ht="15.75" x14ac:dyDescent="0.25">
      <c r="I38" s="101"/>
      <c r="J38" s="36"/>
      <c r="K38" s="36"/>
      <c r="L38" s="101"/>
      <c r="M38" s="101"/>
      <c r="O38" s="101"/>
      <c r="P38" s="101"/>
      <c r="Q38" s="185"/>
      <c r="R38" s="17"/>
    </row>
  </sheetData>
  <sheetProtection selectLockedCells="1" selectUnlockedCells="1"/>
  <mergeCells count="30">
    <mergeCell ref="P14:P15"/>
    <mergeCell ref="Q14:R15"/>
    <mergeCell ref="I14:I15"/>
    <mergeCell ref="J14:J15"/>
    <mergeCell ref="K14:L14"/>
    <mergeCell ref="M14:M15"/>
    <mergeCell ref="N14:N15"/>
    <mergeCell ref="O14:O15"/>
    <mergeCell ref="D8:O8"/>
    <mergeCell ref="D9:O9"/>
    <mergeCell ref="D10:O10"/>
    <mergeCell ref="A14:A15"/>
    <mergeCell ref="B14:C15"/>
    <mergeCell ref="D14:D15"/>
    <mergeCell ref="E14:E15"/>
    <mergeCell ref="F14:F15"/>
    <mergeCell ref="G14:G15"/>
    <mergeCell ref="H14:H15"/>
    <mergeCell ref="A6:C6"/>
    <mergeCell ref="D6:O6"/>
    <mergeCell ref="P6:R6"/>
    <mergeCell ref="A7:C7"/>
    <mergeCell ref="D7:O7"/>
    <mergeCell ref="P7:R7"/>
    <mergeCell ref="A5:C5"/>
    <mergeCell ref="P5:R5"/>
    <mergeCell ref="A1:R1"/>
    <mergeCell ref="A2:R2"/>
    <mergeCell ref="A3:R3"/>
    <mergeCell ref="A4:R4"/>
  </mergeCells>
  <phoneticPr fontId="33" type="noConversion"/>
  <pageMargins left="7.874015748031496E-2" right="0.11811023622047245" top="0.23622047244094491" bottom="0.39370078740157483" header="0.51181102362204722" footer="0.51181102362204722"/>
  <pageSetup paperSize="9" scale="88" firstPageNumber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"/>
  <sheetViews>
    <sheetView topLeftCell="A11" zoomScaleSheetLayoutView="100" workbookViewId="0">
      <selection activeCell="R22" sqref="R22"/>
    </sheetView>
  </sheetViews>
  <sheetFormatPr defaultRowHeight="12.75" x14ac:dyDescent="0.2"/>
  <cols>
    <col min="1" max="1" width="7.42578125" customWidth="1"/>
    <col min="2" max="2" width="24.42578125" style="167" customWidth="1"/>
    <col min="3" max="3" width="4.28515625" customWidth="1"/>
    <col min="4" max="4" width="1.28515625" hidden="1" customWidth="1"/>
    <col min="7" max="7" width="24.140625" customWidth="1"/>
    <col min="8" max="8" width="9.7109375" customWidth="1"/>
    <col min="11" max="15" width="7.7109375" customWidth="1"/>
    <col min="16" max="16" width="6.42578125" customWidth="1"/>
    <col min="17" max="17" width="9.42578125" customWidth="1"/>
    <col min="18" max="18" width="13.140625" customWidth="1"/>
    <col min="19" max="19" width="7.7109375" customWidth="1"/>
  </cols>
  <sheetData>
    <row r="1" spans="1:19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</row>
    <row r="2" spans="1:19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</row>
    <row r="3" spans="1:19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</row>
    <row r="4" spans="1:19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</row>
    <row r="5" spans="1:19" ht="28.15" customHeight="1" x14ac:dyDescent="0.2">
      <c r="A5" s="186"/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M5" s="836"/>
      <c r="N5" s="836"/>
      <c r="O5" s="836"/>
      <c r="P5" s="836"/>
      <c r="Q5" s="836"/>
      <c r="R5" s="836"/>
      <c r="S5" s="836"/>
    </row>
    <row r="6" spans="1:19" ht="28.15" customHeight="1" x14ac:dyDescent="0.2">
      <c r="A6" s="186"/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836"/>
      <c r="Q6" s="836"/>
      <c r="R6" s="836"/>
      <c r="S6" s="836"/>
    </row>
    <row r="7" spans="1:19" ht="13.5" x14ac:dyDescent="0.25">
      <c r="A7" s="970" t="s">
        <v>681</v>
      </c>
      <c r="B7" s="970"/>
      <c r="C7" s="84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70" t="s">
        <v>2</v>
      </c>
      <c r="R7" s="970"/>
      <c r="S7" s="970"/>
    </row>
    <row r="8" spans="1:19" ht="15.75" x14ac:dyDescent="0.25">
      <c r="A8" s="984" t="s">
        <v>530</v>
      </c>
      <c r="B8" s="984"/>
      <c r="C8" s="983" t="s">
        <v>3</v>
      </c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835"/>
      <c r="Q8" s="970" t="s">
        <v>4</v>
      </c>
      <c r="R8" s="970"/>
      <c r="S8" s="970"/>
    </row>
    <row r="9" spans="1:19" ht="16.149999999999999" customHeight="1" x14ac:dyDescent="0.25">
      <c r="A9" s="974" t="s">
        <v>5</v>
      </c>
      <c r="B9" s="974"/>
      <c r="C9" s="1022" t="s">
        <v>539</v>
      </c>
      <c r="D9" s="1022"/>
      <c r="E9" s="1022"/>
      <c r="F9" s="1022"/>
      <c r="G9" s="1022"/>
      <c r="H9" s="1022"/>
      <c r="I9" s="1022"/>
      <c r="J9" s="1022"/>
      <c r="K9" s="1022"/>
      <c r="L9" s="1022"/>
      <c r="M9" s="1022"/>
      <c r="N9" s="1022"/>
      <c r="O9" s="1022"/>
      <c r="P9" s="839"/>
      <c r="Q9" s="974" t="s">
        <v>7</v>
      </c>
      <c r="R9" s="974"/>
      <c r="S9" s="974"/>
    </row>
    <row r="10" spans="1:19" ht="15.75" x14ac:dyDescent="0.25">
      <c r="A10" s="159" t="s">
        <v>22</v>
      </c>
      <c r="B10" s="834" t="s">
        <v>541</v>
      </c>
      <c r="C10" s="983" t="s">
        <v>533</v>
      </c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835"/>
      <c r="Q10" s="834" t="s">
        <v>8</v>
      </c>
      <c r="R10" s="834" t="s">
        <v>9</v>
      </c>
      <c r="S10" s="834" t="s">
        <v>10</v>
      </c>
    </row>
    <row r="11" spans="1:19" ht="15.75" x14ac:dyDescent="0.25">
      <c r="A11" s="161">
        <v>141</v>
      </c>
      <c r="B11" s="161" t="s">
        <v>543</v>
      </c>
      <c r="C11" s="983" t="s">
        <v>540</v>
      </c>
      <c r="D11" s="983"/>
      <c r="E11" s="983"/>
      <c r="F11" s="983"/>
      <c r="G11" s="983"/>
      <c r="H11" s="983"/>
      <c r="I11" s="983"/>
      <c r="J11" s="983"/>
      <c r="K11" s="983"/>
      <c r="L11" s="983"/>
      <c r="M11" s="983"/>
      <c r="N11" s="983"/>
      <c r="O11" s="983"/>
      <c r="P11" s="835"/>
      <c r="Q11" s="770">
        <v>78</v>
      </c>
      <c r="R11" s="770">
        <v>115</v>
      </c>
      <c r="S11" s="770">
        <v>185</v>
      </c>
    </row>
    <row r="12" spans="1:19" ht="16.5" thickBot="1" x14ac:dyDescent="0.3">
      <c r="A12" s="5"/>
      <c r="B12" s="384"/>
      <c r="C12" s="983" t="s">
        <v>118</v>
      </c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983"/>
      <c r="O12" s="983"/>
      <c r="P12" s="835"/>
      <c r="Q12" s="6"/>
      <c r="R12" s="6"/>
      <c r="S12" s="6"/>
    </row>
    <row r="13" spans="1:19" ht="15.75" x14ac:dyDescent="0.2">
      <c r="A13" s="385" t="s">
        <v>13</v>
      </c>
      <c r="B13" s="8"/>
      <c r="C13" s="10">
        <v>44</v>
      </c>
      <c r="F13" s="836"/>
      <c r="G13" s="836"/>
      <c r="H13" s="836"/>
      <c r="I13" s="836"/>
      <c r="J13" s="836"/>
      <c r="K13" s="836"/>
      <c r="L13" s="836"/>
      <c r="M13" s="836"/>
      <c r="N13" s="836"/>
      <c r="O13" s="836"/>
      <c r="P13" s="836"/>
      <c r="Q13" s="12"/>
      <c r="R13" s="12"/>
      <c r="S13" s="12"/>
    </row>
    <row r="14" spans="1:19" ht="13.5" thickBot="1" x14ac:dyDescent="0.25">
      <c r="A14" s="386" t="s">
        <v>14</v>
      </c>
      <c r="B14" s="14"/>
      <c r="C14" s="16">
        <v>270</v>
      </c>
      <c r="F14" s="836"/>
      <c r="G14" s="836"/>
      <c r="H14" s="836"/>
      <c r="I14" s="836"/>
      <c r="J14" s="836"/>
      <c r="K14" s="836"/>
      <c r="L14" s="836"/>
      <c r="M14" s="836"/>
      <c r="N14" s="836"/>
      <c r="O14" s="836"/>
      <c r="P14" s="836"/>
      <c r="Q14" s="6"/>
      <c r="R14" s="6"/>
      <c r="S14" s="6"/>
    </row>
    <row r="15" spans="1:19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15</v>
      </c>
      <c r="L16" s="1060" t="s">
        <v>46</v>
      </c>
      <c r="M16" s="1061"/>
      <c r="N16" s="973" t="s">
        <v>15</v>
      </c>
      <c r="O16" s="973" t="s">
        <v>547</v>
      </c>
      <c r="P16" s="973" t="s">
        <v>548</v>
      </c>
      <c r="Q16" s="972" t="s">
        <v>24</v>
      </c>
      <c r="R16" s="972" t="s">
        <v>25</v>
      </c>
      <c r="S16" s="972"/>
    </row>
    <row r="17" spans="1:19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833" t="s">
        <v>84</v>
      </c>
      <c r="M17" s="833" t="s">
        <v>85</v>
      </c>
      <c r="N17" s="1062"/>
      <c r="O17" s="1062"/>
      <c r="P17" s="1062"/>
      <c r="Q17" s="973"/>
      <c r="R17" s="973"/>
      <c r="S17" s="973"/>
    </row>
    <row r="18" spans="1:19" s="24" customFormat="1" ht="15" customHeight="1" x14ac:dyDescent="0.25">
      <c r="A18" s="630">
        <v>1</v>
      </c>
      <c r="B18" s="837" t="s">
        <v>747</v>
      </c>
      <c r="C18" s="811"/>
      <c r="D18" s="837"/>
      <c r="E18" s="630">
        <v>1992</v>
      </c>
      <c r="F18" s="630" t="s">
        <v>10</v>
      </c>
      <c r="G18" s="630" t="s">
        <v>35</v>
      </c>
      <c r="H18" s="781"/>
      <c r="I18" s="895">
        <v>68</v>
      </c>
      <c r="J18" s="231">
        <v>134</v>
      </c>
      <c r="K18" s="231">
        <v>1</v>
      </c>
      <c r="L18" s="231">
        <v>148</v>
      </c>
      <c r="M18" s="466">
        <f t="shared" ref="M18:M27" si="0">L18/2</f>
        <v>74</v>
      </c>
      <c r="N18" s="231">
        <v>4</v>
      </c>
      <c r="O18" s="466">
        <f t="shared" ref="O18:O27" si="1">J18+M18</f>
        <v>208</v>
      </c>
      <c r="P18" s="231">
        <v>20</v>
      </c>
      <c r="Q18" s="467" t="str">
        <f t="shared" ref="Q18:Q24" si="2">IF(O18&gt;=$S$11,"МСМК",IF(O18&gt;=$R$11,"МС",IF(O18&gt;=$Q$11,"КМС","-")))</f>
        <v>МСМК</v>
      </c>
      <c r="R18" s="892" t="s">
        <v>390</v>
      </c>
      <c r="S18" s="233"/>
    </row>
    <row r="19" spans="1:19" s="24" customFormat="1" ht="18.75" customHeight="1" x14ac:dyDescent="0.25">
      <c r="A19" s="630">
        <v>2</v>
      </c>
      <c r="B19" s="837" t="s">
        <v>94</v>
      </c>
      <c r="C19" s="811"/>
      <c r="D19" s="837"/>
      <c r="E19" s="630">
        <v>1986</v>
      </c>
      <c r="F19" s="630" t="s">
        <v>10</v>
      </c>
      <c r="G19" s="630" t="s">
        <v>33</v>
      </c>
      <c r="H19" s="294"/>
      <c r="I19" s="230">
        <v>68</v>
      </c>
      <c r="J19" s="466">
        <v>133</v>
      </c>
      <c r="K19" s="466">
        <v>2</v>
      </c>
      <c r="L19" s="466">
        <v>147</v>
      </c>
      <c r="M19" s="466">
        <f t="shared" si="0"/>
        <v>73.5</v>
      </c>
      <c r="N19" s="466">
        <v>5</v>
      </c>
      <c r="O19" s="466">
        <f t="shared" si="1"/>
        <v>206.5</v>
      </c>
      <c r="P19" s="466">
        <v>18</v>
      </c>
      <c r="Q19" s="467" t="str">
        <f t="shared" si="2"/>
        <v>МСМК</v>
      </c>
      <c r="R19" s="224" t="s">
        <v>49</v>
      </c>
      <c r="S19" s="223"/>
    </row>
    <row r="20" spans="1:19" s="24" customFormat="1" ht="17.25" customHeight="1" x14ac:dyDescent="0.25">
      <c r="A20" s="630">
        <v>3</v>
      </c>
      <c r="B20" s="837" t="s">
        <v>330</v>
      </c>
      <c r="C20" s="811"/>
      <c r="D20" s="837"/>
      <c r="E20" s="630">
        <v>1989</v>
      </c>
      <c r="F20" s="630" t="s">
        <v>10</v>
      </c>
      <c r="G20" s="630" t="s">
        <v>746</v>
      </c>
      <c r="H20" s="469" t="s">
        <v>31</v>
      </c>
      <c r="I20" s="468">
        <v>67.55</v>
      </c>
      <c r="J20" s="231">
        <v>113</v>
      </c>
      <c r="K20" s="466">
        <v>3</v>
      </c>
      <c r="L20" s="278">
        <v>171</v>
      </c>
      <c r="M20" s="466">
        <f t="shared" si="0"/>
        <v>85.5</v>
      </c>
      <c r="N20" s="278">
        <v>2</v>
      </c>
      <c r="O20" s="466">
        <f t="shared" si="1"/>
        <v>198.5</v>
      </c>
      <c r="P20" s="231">
        <v>16</v>
      </c>
      <c r="Q20" s="467" t="str">
        <f t="shared" si="2"/>
        <v>МСМК</v>
      </c>
      <c r="R20" s="464" t="s">
        <v>566</v>
      </c>
      <c r="S20" s="233"/>
    </row>
    <row r="21" spans="1:19" s="24" customFormat="1" ht="15.75" customHeight="1" x14ac:dyDescent="0.25">
      <c r="A21" s="630">
        <v>4</v>
      </c>
      <c r="B21" s="837" t="s">
        <v>65</v>
      </c>
      <c r="C21" s="811"/>
      <c r="D21" s="837"/>
      <c r="E21" s="630">
        <v>1992</v>
      </c>
      <c r="F21" s="630" t="s">
        <v>10</v>
      </c>
      <c r="G21" s="630" t="s">
        <v>27</v>
      </c>
      <c r="H21" s="904"/>
      <c r="I21" s="898">
        <v>67.7</v>
      </c>
      <c r="J21" s="469">
        <v>97</v>
      </c>
      <c r="K21" s="466">
        <v>5</v>
      </c>
      <c r="L21" s="764">
        <v>164</v>
      </c>
      <c r="M21" s="466">
        <f t="shared" si="0"/>
        <v>82</v>
      </c>
      <c r="N21" s="766">
        <v>3</v>
      </c>
      <c r="O21" s="466">
        <f t="shared" si="1"/>
        <v>179</v>
      </c>
      <c r="P21" s="769">
        <v>15</v>
      </c>
      <c r="Q21" s="467" t="str">
        <f t="shared" si="2"/>
        <v>МС</v>
      </c>
      <c r="R21" s="901" t="s">
        <v>133</v>
      </c>
      <c r="S21" s="240"/>
    </row>
    <row r="22" spans="1:19" s="24" customFormat="1" ht="15" x14ac:dyDescent="0.25">
      <c r="A22" s="630">
        <v>5</v>
      </c>
      <c r="B22" s="837" t="s">
        <v>614</v>
      </c>
      <c r="C22" s="811"/>
      <c r="D22" s="837"/>
      <c r="E22" s="630">
        <v>1996</v>
      </c>
      <c r="F22" s="630" t="s">
        <v>9</v>
      </c>
      <c r="G22" s="630" t="s">
        <v>438</v>
      </c>
      <c r="H22" s="469" t="s">
        <v>37</v>
      </c>
      <c r="I22" s="468">
        <v>67.849999999999994</v>
      </c>
      <c r="J22" s="471">
        <v>109</v>
      </c>
      <c r="K22" s="466">
        <v>4</v>
      </c>
      <c r="L22" s="765">
        <v>131</v>
      </c>
      <c r="M22" s="466">
        <f t="shared" si="0"/>
        <v>65.5</v>
      </c>
      <c r="N22" s="767">
        <v>6</v>
      </c>
      <c r="O22" s="466">
        <f t="shared" si="1"/>
        <v>174.5</v>
      </c>
      <c r="P22" s="471">
        <v>14</v>
      </c>
      <c r="Q22" s="467" t="str">
        <f t="shared" si="2"/>
        <v>МС</v>
      </c>
      <c r="R22" s="838" t="s">
        <v>38</v>
      </c>
      <c r="S22" s="27"/>
    </row>
    <row r="23" spans="1:19" s="24" customFormat="1" ht="15.75" x14ac:dyDescent="0.25">
      <c r="A23" s="630">
        <v>6</v>
      </c>
      <c r="B23" s="837" t="s">
        <v>92</v>
      </c>
      <c r="C23" s="811"/>
      <c r="D23" s="837"/>
      <c r="E23" s="630">
        <v>1991</v>
      </c>
      <c r="F23" s="630" t="s">
        <v>9</v>
      </c>
      <c r="G23" s="630" t="s">
        <v>35</v>
      </c>
      <c r="H23" s="778"/>
      <c r="I23" s="808">
        <v>68</v>
      </c>
      <c r="J23" s="471">
        <v>72</v>
      </c>
      <c r="K23" s="466">
        <v>9</v>
      </c>
      <c r="L23" s="471">
        <v>175</v>
      </c>
      <c r="M23" s="466">
        <f t="shared" si="0"/>
        <v>87.5</v>
      </c>
      <c r="N23" s="471">
        <v>1</v>
      </c>
      <c r="O23" s="466">
        <f t="shared" si="1"/>
        <v>159.5</v>
      </c>
      <c r="P23" s="546">
        <v>13</v>
      </c>
      <c r="Q23" s="467" t="str">
        <f t="shared" si="2"/>
        <v>МС</v>
      </c>
      <c r="R23" s="388" t="s">
        <v>357</v>
      </c>
      <c r="S23" s="27"/>
    </row>
    <row r="24" spans="1:19" s="24" customFormat="1" ht="15" x14ac:dyDescent="0.25">
      <c r="A24" s="630">
        <v>7</v>
      </c>
      <c r="B24" s="837" t="s">
        <v>713</v>
      </c>
      <c r="C24" s="811"/>
      <c r="D24" s="837"/>
      <c r="E24" s="630">
        <v>2001</v>
      </c>
      <c r="F24" s="630" t="s">
        <v>9</v>
      </c>
      <c r="G24" s="630" t="s">
        <v>489</v>
      </c>
      <c r="H24" s="712" t="s">
        <v>745</v>
      </c>
      <c r="I24" s="472">
        <v>67.7</v>
      </c>
      <c r="J24" s="539">
        <v>92</v>
      </c>
      <c r="K24" s="466">
        <v>6</v>
      </c>
      <c r="L24" s="473">
        <v>97</v>
      </c>
      <c r="M24" s="466">
        <f t="shared" si="0"/>
        <v>48.5</v>
      </c>
      <c r="N24" s="473">
        <v>7</v>
      </c>
      <c r="O24" s="466">
        <f t="shared" si="1"/>
        <v>140.5</v>
      </c>
      <c r="P24" s="473">
        <v>12</v>
      </c>
      <c r="Q24" s="467" t="str">
        <f t="shared" si="2"/>
        <v>МС</v>
      </c>
      <c r="R24" s="464" t="s">
        <v>367</v>
      </c>
      <c r="S24" s="784"/>
    </row>
    <row r="25" spans="1:19" s="24" customFormat="1" ht="15" x14ac:dyDescent="0.25">
      <c r="A25" s="630">
        <v>8</v>
      </c>
      <c r="B25" s="837" t="s">
        <v>738</v>
      </c>
      <c r="C25" s="811"/>
      <c r="D25" s="837"/>
      <c r="E25" s="630">
        <v>1978</v>
      </c>
      <c r="F25" s="630" t="s">
        <v>8</v>
      </c>
      <c r="G25" s="630" t="s">
        <v>739</v>
      </c>
      <c r="H25" s="21"/>
      <c r="I25" s="547">
        <v>66.650000000000006</v>
      </c>
      <c r="J25" s="471">
        <v>89</v>
      </c>
      <c r="K25" s="466">
        <v>7</v>
      </c>
      <c r="L25" s="471">
        <v>82</v>
      </c>
      <c r="M25" s="466">
        <f t="shared" si="0"/>
        <v>41</v>
      </c>
      <c r="N25" s="471">
        <v>8</v>
      </c>
      <c r="O25" s="466">
        <f t="shared" si="1"/>
        <v>130</v>
      </c>
      <c r="P25" s="471">
        <v>11</v>
      </c>
      <c r="Q25" s="890" t="s">
        <v>718</v>
      </c>
      <c r="R25" s="388" t="s">
        <v>740</v>
      </c>
      <c r="S25" s="27"/>
    </row>
    <row r="26" spans="1:19" s="24" customFormat="1" ht="18.75" x14ac:dyDescent="0.25">
      <c r="A26" s="630">
        <v>9</v>
      </c>
      <c r="B26" s="837" t="s">
        <v>741</v>
      </c>
      <c r="C26" s="811"/>
      <c r="D26" s="837"/>
      <c r="E26" s="630">
        <v>2000</v>
      </c>
      <c r="F26" s="630" t="s">
        <v>8</v>
      </c>
      <c r="G26" s="630" t="s">
        <v>519</v>
      </c>
      <c r="H26" s="899"/>
      <c r="I26" s="902">
        <v>67.2</v>
      </c>
      <c r="J26" s="539">
        <v>85</v>
      </c>
      <c r="K26" s="466">
        <v>8</v>
      </c>
      <c r="L26" s="473">
        <v>73</v>
      </c>
      <c r="M26" s="466">
        <f t="shared" si="0"/>
        <v>36.5</v>
      </c>
      <c r="N26" s="473">
        <v>10</v>
      </c>
      <c r="O26" s="466">
        <f t="shared" si="1"/>
        <v>121.5</v>
      </c>
      <c r="P26" s="473">
        <v>10</v>
      </c>
      <c r="Q26" s="890" t="s">
        <v>718</v>
      </c>
      <c r="R26" s="900" t="s">
        <v>742</v>
      </c>
      <c r="S26" s="280"/>
    </row>
    <row r="27" spans="1:19" s="24" customFormat="1" ht="15" x14ac:dyDescent="0.25">
      <c r="A27" s="630">
        <v>10</v>
      </c>
      <c r="B27" s="837" t="s">
        <v>743</v>
      </c>
      <c r="C27" s="811"/>
      <c r="D27" s="837"/>
      <c r="E27" s="630">
        <v>1992</v>
      </c>
      <c r="F27" s="630" t="s">
        <v>9</v>
      </c>
      <c r="G27" s="630" t="s">
        <v>237</v>
      </c>
      <c r="H27" s="511" t="s">
        <v>30</v>
      </c>
      <c r="I27" s="870">
        <v>67.8</v>
      </c>
      <c r="J27" s="245">
        <v>38</v>
      </c>
      <c r="K27" s="466">
        <v>10</v>
      </c>
      <c r="L27" s="245">
        <v>79</v>
      </c>
      <c r="M27" s="466">
        <f t="shared" si="0"/>
        <v>39.5</v>
      </c>
      <c r="N27" s="245">
        <v>9</v>
      </c>
      <c r="O27" s="466">
        <f t="shared" si="1"/>
        <v>77.5</v>
      </c>
      <c r="P27" s="245">
        <v>9</v>
      </c>
      <c r="Q27" s="467" t="str">
        <f>IF(O27&gt;=$S$11,"МСМК",IF(O27&gt;=$R$11,"МС",IF(O27&gt;=$Q$11,"КМС","-")))</f>
        <v>-</v>
      </c>
      <c r="R27" s="871" t="s">
        <v>744</v>
      </c>
      <c r="S27" s="246"/>
    </row>
    <row r="28" spans="1:19" x14ac:dyDescent="0.2">
      <c r="A28" s="17"/>
      <c r="B28" s="2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ht="13.5" x14ac:dyDescent="0.25">
      <c r="A29" s="214" t="s">
        <v>534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841"/>
      <c r="L29" s="841"/>
      <c r="M29" s="841"/>
      <c r="N29" s="841"/>
      <c r="O29" s="841"/>
      <c r="P29" s="841"/>
      <c r="Q29" s="475" t="s">
        <v>536</v>
      </c>
      <c r="S29" s="841"/>
    </row>
    <row r="30" spans="1:19" ht="13.5" x14ac:dyDescent="0.25">
      <c r="A30" s="214"/>
      <c r="B30" s="383"/>
      <c r="C30" s="841"/>
      <c r="D30" s="17"/>
      <c r="E30" s="17"/>
      <c r="F30" s="17"/>
      <c r="G30" s="17"/>
      <c r="H30" s="214"/>
      <c r="J30" s="17"/>
      <c r="K30" s="841"/>
      <c r="L30" s="841"/>
      <c r="M30" s="841"/>
      <c r="N30" s="841"/>
      <c r="O30" s="841"/>
      <c r="P30" s="841"/>
      <c r="Q30" s="476"/>
      <c r="R30" s="17"/>
      <c r="S30" s="17"/>
    </row>
    <row r="31" spans="1:19" ht="13.5" x14ac:dyDescent="0.25">
      <c r="A31" s="214" t="s">
        <v>535</v>
      </c>
      <c r="B31" s="210"/>
      <c r="C31" s="210"/>
      <c r="D31" s="210"/>
      <c r="E31" s="210"/>
      <c r="F31" s="210"/>
      <c r="G31" s="210"/>
      <c r="H31" s="214" t="s">
        <v>41</v>
      </c>
      <c r="J31" s="210"/>
      <c r="Q31" s="477" t="s">
        <v>537</v>
      </c>
      <c r="R31" s="841"/>
      <c r="S31" s="841"/>
    </row>
  </sheetData>
  <autoFilter ref="A16:S17">
    <filterColumn colId="1" showButton="0"/>
    <filterColumn colId="2" showButton="0"/>
    <filterColumn colId="11" showButton="0"/>
    <filterColumn colId="17" showButton="0"/>
    <sortState ref="A19:S27">
      <sortCondition descending="1" ref="O16:O17"/>
    </sortState>
  </autoFilter>
  <mergeCells count="30">
    <mergeCell ref="B1:S1"/>
    <mergeCell ref="B2:S2"/>
    <mergeCell ref="B3:S3"/>
    <mergeCell ref="B4:S4"/>
    <mergeCell ref="A7:B7"/>
    <mergeCell ref="Q7:S7"/>
    <mergeCell ref="A8:B8"/>
    <mergeCell ref="C8:O8"/>
    <mergeCell ref="Q8:S8"/>
    <mergeCell ref="A9:B9"/>
    <mergeCell ref="C9:O9"/>
    <mergeCell ref="Q9:S9"/>
    <mergeCell ref="C10:O10"/>
    <mergeCell ref="C11:O11"/>
    <mergeCell ref="C12:O12"/>
    <mergeCell ref="A16:A17"/>
    <mergeCell ref="B16:D17"/>
    <mergeCell ref="E16:E17"/>
    <mergeCell ref="F16:F17"/>
    <mergeCell ref="G16:G17"/>
    <mergeCell ref="H16:H17"/>
    <mergeCell ref="I16:I17"/>
    <mergeCell ref="Q16:Q17"/>
    <mergeCell ref="R16:S17"/>
    <mergeCell ref="J16:J17"/>
    <mergeCell ref="K16:K17"/>
    <mergeCell ref="L16:M16"/>
    <mergeCell ref="N16:N17"/>
    <mergeCell ref="O16:O17"/>
    <mergeCell ref="P16:P1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colBreaks count="1" manualBreakCount="1">
    <brk id="19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topLeftCell="A11" zoomScaleSheetLayoutView="100" workbookViewId="0">
      <selection activeCell="A24" sqref="A24:XFD24"/>
    </sheetView>
  </sheetViews>
  <sheetFormatPr defaultRowHeight="12.75" x14ac:dyDescent="0.2"/>
  <cols>
    <col min="1" max="1" width="7.42578125" customWidth="1"/>
    <col min="2" max="2" width="24.42578125" style="167" customWidth="1"/>
    <col min="3" max="3" width="4.28515625" customWidth="1"/>
    <col min="4" max="4" width="1.28515625" hidden="1" customWidth="1"/>
    <col min="7" max="7" width="24.140625" customWidth="1"/>
    <col min="8" max="8" width="9.7109375" customWidth="1"/>
    <col min="11" max="15" width="7.7109375" customWidth="1"/>
    <col min="16" max="16" width="6.42578125" customWidth="1"/>
    <col min="17" max="17" width="9.42578125" customWidth="1"/>
    <col min="18" max="18" width="13.140625" customWidth="1"/>
    <col min="19" max="19" width="7.7109375" customWidth="1"/>
  </cols>
  <sheetData>
    <row r="1" spans="1:19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</row>
    <row r="2" spans="1:19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</row>
    <row r="3" spans="1:19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</row>
    <row r="4" spans="1:19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</row>
    <row r="5" spans="1:19" ht="28.15" customHeight="1" x14ac:dyDescent="0.2">
      <c r="A5" s="186"/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M5" s="836"/>
      <c r="N5" s="836"/>
      <c r="O5" s="836"/>
      <c r="P5" s="836"/>
      <c r="Q5" s="836"/>
      <c r="R5" s="836"/>
      <c r="S5" s="836"/>
    </row>
    <row r="6" spans="1:19" ht="28.15" customHeight="1" x14ac:dyDescent="0.2">
      <c r="A6" s="186"/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836"/>
      <c r="Q6" s="836"/>
      <c r="R6" s="836"/>
      <c r="S6" s="836"/>
    </row>
    <row r="7" spans="1:19" ht="13.5" x14ac:dyDescent="0.25">
      <c r="A7" s="970" t="s">
        <v>681</v>
      </c>
      <c r="B7" s="970"/>
      <c r="C7" s="84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70" t="s">
        <v>2</v>
      </c>
      <c r="R7" s="970"/>
      <c r="S7" s="970"/>
    </row>
    <row r="8" spans="1:19" ht="15.75" x14ac:dyDescent="0.25">
      <c r="A8" s="984" t="s">
        <v>530</v>
      </c>
      <c r="B8" s="984"/>
      <c r="C8" s="983" t="s">
        <v>3</v>
      </c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835"/>
      <c r="Q8" s="970" t="s">
        <v>4</v>
      </c>
      <c r="R8" s="970"/>
      <c r="S8" s="970"/>
    </row>
    <row r="9" spans="1:19" ht="16.149999999999999" customHeight="1" x14ac:dyDescent="0.25">
      <c r="A9" s="974" t="s">
        <v>5</v>
      </c>
      <c r="B9" s="974"/>
      <c r="C9" s="1022" t="s">
        <v>539</v>
      </c>
      <c r="D9" s="1022"/>
      <c r="E9" s="1022"/>
      <c r="F9" s="1022"/>
      <c r="G9" s="1022"/>
      <c r="H9" s="1022"/>
      <c r="I9" s="1022"/>
      <c r="J9" s="1022"/>
      <c r="K9" s="1022"/>
      <c r="L9" s="1022"/>
      <c r="M9" s="1022"/>
      <c r="N9" s="1022"/>
      <c r="O9" s="1022"/>
      <c r="P9" s="839"/>
      <c r="Q9" s="974" t="s">
        <v>7</v>
      </c>
      <c r="R9" s="974"/>
      <c r="S9" s="974"/>
    </row>
    <row r="10" spans="1:19" ht="15.75" x14ac:dyDescent="0.25">
      <c r="A10" s="159" t="s">
        <v>22</v>
      </c>
      <c r="B10" s="834" t="s">
        <v>541</v>
      </c>
      <c r="C10" s="983" t="s">
        <v>533</v>
      </c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835"/>
      <c r="Q10" s="834" t="s">
        <v>8</v>
      </c>
      <c r="R10" s="834" t="s">
        <v>9</v>
      </c>
      <c r="S10" s="834" t="s">
        <v>10</v>
      </c>
    </row>
    <row r="11" spans="1:19" ht="15.75" x14ac:dyDescent="0.25">
      <c r="A11" s="161">
        <v>149</v>
      </c>
      <c r="B11" s="161" t="s">
        <v>544</v>
      </c>
      <c r="C11" s="983" t="s">
        <v>540</v>
      </c>
      <c r="D11" s="983"/>
      <c r="E11" s="983"/>
      <c r="F11" s="983"/>
      <c r="G11" s="983"/>
      <c r="H11" s="983"/>
      <c r="I11" s="983"/>
      <c r="J11" s="983"/>
      <c r="K11" s="983"/>
      <c r="L11" s="983"/>
      <c r="M11" s="983"/>
      <c r="N11" s="983"/>
      <c r="O11" s="983"/>
      <c r="P11" s="835"/>
      <c r="Q11" s="4">
        <v>86</v>
      </c>
      <c r="R11" s="4">
        <v>130</v>
      </c>
      <c r="S11" s="4">
        <v>195</v>
      </c>
    </row>
    <row r="12" spans="1:19" ht="16.5" thickBot="1" x14ac:dyDescent="0.3">
      <c r="A12" s="5"/>
      <c r="B12" s="384"/>
      <c r="C12" s="983" t="s">
        <v>549</v>
      </c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983"/>
      <c r="O12" s="983"/>
      <c r="P12" s="835"/>
      <c r="Q12" s="6"/>
      <c r="R12" s="6"/>
      <c r="S12" s="6"/>
    </row>
    <row r="13" spans="1:19" ht="15.75" x14ac:dyDescent="0.2">
      <c r="A13" s="385" t="s">
        <v>13</v>
      </c>
      <c r="B13" s="8"/>
      <c r="C13" s="10">
        <v>44</v>
      </c>
      <c r="F13" s="836"/>
      <c r="G13" s="836"/>
      <c r="H13" s="836"/>
      <c r="I13" s="836"/>
      <c r="J13" s="836"/>
      <c r="K13" s="836"/>
      <c r="L13" s="836"/>
      <c r="M13" s="836"/>
      <c r="N13" s="836"/>
      <c r="O13" s="836"/>
      <c r="P13" s="836"/>
      <c r="Q13" s="12"/>
      <c r="R13" s="12"/>
      <c r="S13" s="12"/>
    </row>
    <row r="14" spans="1:19" ht="13.5" thickBot="1" x14ac:dyDescent="0.25">
      <c r="A14" s="386" t="s">
        <v>14</v>
      </c>
      <c r="B14" s="14"/>
      <c r="C14" s="16">
        <v>270</v>
      </c>
      <c r="F14" s="836"/>
      <c r="G14" s="836"/>
      <c r="H14" s="836"/>
      <c r="I14" s="836"/>
      <c r="J14" s="836"/>
      <c r="K14" s="836"/>
      <c r="L14" s="836"/>
      <c r="M14" s="836"/>
      <c r="N14" s="836"/>
      <c r="O14" s="836"/>
      <c r="P14" s="836"/>
      <c r="Q14" s="6"/>
      <c r="R14" s="6"/>
      <c r="S14" s="6"/>
    </row>
    <row r="15" spans="1:19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15</v>
      </c>
      <c r="L16" s="1060" t="s">
        <v>46</v>
      </c>
      <c r="M16" s="1061"/>
      <c r="N16" s="973" t="s">
        <v>15</v>
      </c>
      <c r="O16" s="973" t="s">
        <v>547</v>
      </c>
      <c r="P16" s="973" t="s">
        <v>548</v>
      </c>
      <c r="Q16" s="972" t="s">
        <v>24</v>
      </c>
      <c r="R16" s="972" t="s">
        <v>25</v>
      </c>
      <c r="S16" s="972"/>
    </row>
    <row r="17" spans="1:19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833" t="s">
        <v>84</v>
      </c>
      <c r="M17" s="833" t="s">
        <v>85</v>
      </c>
      <c r="N17" s="1062"/>
      <c r="O17" s="1062"/>
      <c r="P17" s="1062"/>
      <c r="Q17" s="973"/>
      <c r="R17" s="973"/>
      <c r="S17" s="973"/>
    </row>
    <row r="18" spans="1:19" s="24" customFormat="1" ht="15" customHeight="1" x14ac:dyDescent="0.25">
      <c r="A18" s="817" t="s">
        <v>686</v>
      </c>
      <c r="B18" s="837" t="s">
        <v>509</v>
      </c>
      <c r="C18" s="493"/>
      <c r="D18" s="811"/>
      <c r="E18" s="362">
        <v>1999</v>
      </c>
      <c r="F18" s="362" t="s">
        <v>10</v>
      </c>
      <c r="G18" s="466" t="s">
        <v>489</v>
      </c>
      <c r="H18" s="362"/>
      <c r="I18" s="895">
        <v>71.2</v>
      </c>
      <c r="J18" s="469">
        <v>144</v>
      </c>
      <c r="K18" s="469">
        <v>1</v>
      </c>
      <c r="L18" s="469">
        <v>180</v>
      </c>
      <c r="M18" s="466">
        <f t="shared" ref="M18:M26" si="0">L18/2</f>
        <v>90</v>
      </c>
      <c r="N18" s="469">
        <v>2</v>
      </c>
      <c r="O18" s="466">
        <f t="shared" ref="O18:O26" si="1">J18+M18</f>
        <v>234</v>
      </c>
      <c r="P18" s="469">
        <v>20</v>
      </c>
      <c r="Q18" s="467" t="str">
        <f t="shared" ref="Q18:Q26" si="2">IF(O18&gt;=$S$11,"МСМК",IF(O18&gt;=$R$11,"МС",IF(O18&gt;=$Q$11,"КМС","-")))</f>
        <v>МСМК</v>
      </c>
      <c r="R18" s="387" t="s">
        <v>29</v>
      </c>
      <c r="S18" s="802"/>
    </row>
    <row r="19" spans="1:19" s="24" customFormat="1" ht="18.75" customHeight="1" x14ac:dyDescent="0.25">
      <c r="A19" s="817" t="s">
        <v>687</v>
      </c>
      <c r="B19" s="387" t="s">
        <v>395</v>
      </c>
      <c r="C19" s="225"/>
      <c r="D19" s="226"/>
      <c r="E19" s="227">
        <v>1982</v>
      </c>
      <c r="F19" s="228" t="s">
        <v>223</v>
      </c>
      <c r="G19" s="245" t="s">
        <v>565</v>
      </c>
      <c r="H19" s="231" t="s">
        <v>31</v>
      </c>
      <c r="I19" s="230">
        <v>73</v>
      </c>
      <c r="J19" s="466">
        <v>128</v>
      </c>
      <c r="K19" s="466">
        <v>2</v>
      </c>
      <c r="L19" s="466">
        <v>169</v>
      </c>
      <c r="M19" s="466">
        <f t="shared" si="0"/>
        <v>84.5</v>
      </c>
      <c r="N19" s="466">
        <v>3</v>
      </c>
      <c r="O19" s="466">
        <f t="shared" si="1"/>
        <v>212.5</v>
      </c>
      <c r="P19" s="466">
        <v>18</v>
      </c>
      <c r="Q19" s="467" t="str">
        <f t="shared" si="2"/>
        <v>МСМК</v>
      </c>
      <c r="R19" s="866" t="s">
        <v>755</v>
      </c>
      <c r="S19" s="812"/>
    </row>
    <row r="20" spans="1:19" s="24" customFormat="1" ht="17.25" customHeight="1" x14ac:dyDescent="0.25">
      <c r="A20" s="905" t="s">
        <v>688</v>
      </c>
      <c r="B20" s="573" t="s">
        <v>355</v>
      </c>
      <c r="C20" s="574"/>
      <c r="D20" s="865"/>
      <c r="E20" s="570">
        <v>1993</v>
      </c>
      <c r="F20" s="571" t="s">
        <v>10</v>
      </c>
      <c r="G20" s="402" t="s">
        <v>237</v>
      </c>
      <c r="H20" s="572" t="s">
        <v>753</v>
      </c>
      <c r="I20" s="582">
        <v>73</v>
      </c>
      <c r="J20" s="231">
        <v>117</v>
      </c>
      <c r="K20" s="466">
        <v>3</v>
      </c>
      <c r="L20" s="278">
        <v>186</v>
      </c>
      <c r="M20" s="466">
        <f t="shared" si="0"/>
        <v>93</v>
      </c>
      <c r="N20" s="278">
        <v>1</v>
      </c>
      <c r="O20" s="466">
        <f t="shared" si="1"/>
        <v>210</v>
      </c>
      <c r="P20" s="231">
        <v>16</v>
      </c>
      <c r="Q20" s="467" t="str">
        <f t="shared" si="2"/>
        <v>МСМК</v>
      </c>
      <c r="R20" s="897" t="s">
        <v>754</v>
      </c>
      <c r="S20" s="233"/>
    </row>
    <row r="21" spans="1:19" s="24" customFormat="1" ht="15.75" customHeight="1" x14ac:dyDescent="0.25">
      <c r="A21" s="817" t="s">
        <v>689</v>
      </c>
      <c r="B21" s="838" t="s">
        <v>407</v>
      </c>
      <c r="C21" s="522"/>
      <c r="D21" s="523"/>
      <c r="E21" s="480">
        <v>1984</v>
      </c>
      <c r="F21" s="469" t="s">
        <v>9</v>
      </c>
      <c r="G21" s="469" t="s">
        <v>493</v>
      </c>
      <c r="H21" s="469"/>
      <c r="I21" s="468">
        <v>72.75</v>
      </c>
      <c r="J21" s="466">
        <v>107</v>
      </c>
      <c r="K21" s="466">
        <v>4</v>
      </c>
      <c r="L21" s="885">
        <v>166</v>
      </c>
      <c r="M21" s="466">
        <f t="shared" si="0"/>
        <v>83</v>
      </c>
      <c r="N21" s="887">
        <v>4</v>
      </c>
      <c r="O21" s="466">
        <f t="shared" si="1"/>
        <v>190</v>
      </c>
      <c r="P21" s="889">
        <v>15</v>
      </c>
      <c r="Q21" s="467" t="str">
        <f t="shared" si="2"/>
        <v>МС</v>
      </c>
      <c r="R21" s="838" t="s">
        <v>303</v>
      </c>
      <c r="S21" s="812"/>
    </row>
    <row r="22" spans="1:19" s="24" customFormat="1" ht="15" x14ac:dyDescent="0.25">
      <c r="A22" s="817" t="s">
        <v>690</v>
      </c>
      <c r="B22" s="387" t="s">
        <v>752</v>
      </c>
      <c r="C22" s="225"/>
      <c r="D22" s="226"/>
      <c r="E22" s="227">
        <v>1993</v>
      </c>
      <c r="F22" s="228" t="s">
        <v>9</v>
      </c>
      <c r="G22" s="231" t="s">
        <v>35</v>
      </c>
      <c r="H22" s="231"/>
      <c r="I22" s="230">
        <v>72.900000000000006</v>
      </c>
      <c r="J22" s="473">
        <v>100</v>
      </c>
      <c r="K22" s="466">
        <v>5</v>
      </c>
      <c r="L22" s="879">
        <v>146</v>
      </c>
      <c r="M22" s="466">
        <f t="shared" si="0"/>
        <v>73</v>
      </c>
      <c r="N22" s="881">
        <v>6</v>
      </c>
      <c r="O22" s="466">
        <f t="shared" si="1"/>
        <v>173</v>
      </c>
      <c r="P22" s="473">
        <v>14</v>
      </c>
      <c r="Q22" s="467" t="str">
        <f t="shared" si="2"/>
        <v>МС</v>
      </c>
      <c r="R22" s="224" t="s">
        <v>725</v>
      </c>
      <c r="S22" s="806"/>
    </row>
    <row r="23" spans="1:19" s="24" customFormat="1" ht="15" x14ac:dyDescent="0.25">
      <c r="A23" s="817" t="s">
        <v>691</v>
      </c>
      <c r="B23" s="487" t="s">
        <v>379</v>
      </c>
      <c r="C23" s="499"/>
      <c r="D23" s="500"/>
      <c r="E23" s="511">
        <v>1996</v>
      </c>
      <c r="F23" s="511" t="s">
        <v>9</v>
      </c>
      <c r="G23" s="244" t="s">
        <v>35</v>
      </c>
      <c r="H23" s="496"/>
      <c r="I23" s="808">
        <v>72.349999999999994</v>
      </c>
      <c r="J23" s="471">
        <v>88</v>
      </c>
      <c r="K23" s="466">
        <v>7</v>
      </c>
      <c r="L23" s="471">
        <v>152</v>
      </c>
      <c r="M23" s="466">
        <f t="shared" si="0"/>
        <v>76</v>
      </c>
      <c r="N23" s="471">
        <v>5</v>
      </c>
      <c r="O23" s="466">
        <f t="shared" si="1"/>
        <v>164</v>
      </c>
      <c r="P23" s="546">
        <v>13</v>
      </c>
      <c r="Q23" s="467" t="str">
        <f t="shared" si="2"/>
        <v>МС</v>
      </c>
      <c r="R23" s="867" t="s">
        <v>756</v>
      </c>
      <c r="S23" s="803"/>
    </row>
    <row r="24" spans="1:19" s="24" customFormat="1" ht="15" x14ac:dyDescent="0.25">
      <c r="A24" s="817" t="s">
        <v>692</v>
      </c>
      <c r="B24" s="388" t="s">
        <v>505</v>
      </c>
      <c r="C24" s="242"/>
      <c r="D24" s="243"/>
      <c r="E24" s="263">
        <v>1979</v>
      </c>
      <c r="F24" s="244" t="s">
        <v>10</v>
      </c>
      <c r="G24" s="245" t="s">
        <v>438</v>
      </c>
      <c r="H24" s="245" t="s">
        <v>37</v>
      </c>
      <c r="I24" s="91">
        <v>70.400000000000006</v>
      </c>
      <c r="J24" s="633">
        <v>99</v>
      </c>
      <c r="K24" s="466">
        <v>6</v>
      </c>
      <c r="L24" s="471">
        <v>112</v>
      </c>
      <c r="M24" s="466">
        <f t="shared" si="0"/>
        <v>56</v>
      </c>
      <c r="N24" s="471">
        <v>9</v>
      </c>
      <c r="O24" s="466">
        <f t="shared" si="1"/>
        <v>155</v>
      </c>
      <c r="P24" s="471">
        <v>12</v>
      </c>
      <c r="Q24" s="467" t="str">
        <f t="shared" si="2"/>
        <v>МС</v>
      </c>
      <c r="R24" s="241" t="s">
        <v>162</v>
      </c>
      <c r="S24" s="803"/>
    </row>
    <row r="25" spans="1:19" s="24" customFormat="1" ht="15" x14ac:dyDescent="0.25">
      <c r="A25" s="817" t="s">
        <v>693</v>
      </c>
      <c r="B25" s="388" t="s">
        <v>748</v>
      </c>
      <c r="C25" s="242"/>
      <c r="D25" s="243"/>
      <c r="E25" s="397">
        <v>1998</v>
      </c>
      <c r="F25" s="244" t="s">
        <v>10</v>
      </c>
      <c r="G25" s="474" t="s">
        <v>749</v>
      </c>
      <c r="H25" s="511"/>
      <c r="I25" s="896">
        <v>69.95</v>
      </c>
      <c r="J25" s="473">
        <v>79</v>
      </c>
      <c r="K25" s="466">
        <v>8</v>
      </c>
      <c r="L25" s="473">
        <v>118</v>
      </c>
      <c r="M25" s="466">
        <f t="shared" si="0"/>
        <v>59</v>
      </c>
      <c r="N25" s="473">
        <v>8</v>
      </c>
      <c r="O25" s="466">
        <f t="shared" si="1"/>
        <v>138</v>
      </c>
      <c r="P25" s="473">
        <v>11</v>
      </c>
      <c r="Q25" s="467" t="str">
        <f t="shared" si="2"/>
        <v>МС</v>
      </c>
      <c r="R25" s="232" t="s">
        <v>750</v>
      </c>
      <c r="S25" s="564"/>
    </row>
    <row r="26" spans="1:19" s="24" customFormat="1" ht="15" x14ac:dyDescent="0.25">
      <c r="A26" s="817" t="s">
        <v>709</v>
      </c>
      <c r="B26" s="534" t="s">
        <v>751</v>
      </c>
      <c r="C26" s="718"/>
      <c r="D26" s="813"/>
      <c r="E26" s="535">
        <v>1984</v>
      </c>
      <c r="F26" s="509" t="s">
        <v>9</v>
      </c>
      <c r="G26" s="539" t="s">
        <v>218</v>
      </c>
      <c r="H26" s="473"/>
      <c r="I26" s="472">
        <v>71.650000000000006</v>
      </c>
      <c r="J26" s="245">
        <v>73</v>
      </c>
      <c r="K26" s="466">
        <v>9</v>
      </c>
      <c r="L26" s="245">
        <v>130</v>
      </c>
      <c r="M26" s="466">
        <f t="shared" si="0"/>
        <v>65</v>
      </c>
      <c r="N26" s="245">
        <v>7</v>
      </c>
      <c r="O26" s="466">
        <f t="shared" si="1"/>
        <v>138</v>
      </c>
      <c r="P26" s="245">
        <v>10</v>
      </c>
      <c r="Q26" s="467" t="str">
        <f t="shared" si="2"/>
        <v>МС</v>
      </c>
      <c r="R26" s="464" t="s">
        <v>366</v>
      </c>
      <c r="S26" s="246"/>
    </row>
    <row r="27" spans="1:19" s="24" customFormat="1" ht="15" x14ac:dyDescent="0.25">
      <c r="A27" s="814"/>
      <c r="B27" s="183"/>
      <c r="C27" s="431"/>
      <c r="D27" s="431"/>
      <c r="E27" s="436"/>
      <c r="F27" s="437"/>
      <c r="G27" s="326"/>
      <c r="H27" s="326"/>
      <c r="I27" s="439"/>
      <c r="J27" s="326"/>
      <c r="K27" s="789"/>
      <c r="L27" s="815"/>
      <c r="M27" s="270"/>
      <c r="N27" s="270"/>
    </row>
    <row r="28" spans="1:19" s="24" customFormat="1" ht="15.75" x14ac:dyDescent="0.25">
      <c r="A28" s="814"/>
      <c r="B28" s="791" t="s">
        <v>808</v>
      </c>
      <c r="C28" s="792"/>
      <c r="D28" s="792"/>
      <c r="E28" s="793"/>
      <c r="F28" s="794"/>
      <c r="G28" s="795"/>
      <c r="H28" s="326"/>
      <c r="I28" s="439"/>
      <c r="J28" s="326"/>
      <c r="K28" s="789"/>
      <c r="L28" s="815"/>
      <c r="M28" s="270"/>
      <c r="N28" s="270"/>
    </row>
    <row r="29" spans="1:19" x14ac:dyDescent="0.2">
      <c r="A29" s="17"/>
      <c r="B29" s="21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9" ht="13.5" x14ac:dyDescent="0.25">
      <c r="A30" s="214" t="s">
        <v>534</v>
      </c>
      <c r="B30" s="210"/>
      <c r="C30" s="210"/>
      <c r="D30" s="210"/>
      <c r="E30" s="210"/>
      <c r="F30" s="210"/>
      <c r="G30" s="210"/>
      <c r="H30" s="214" t="s">
        <v>40</v>
      </c>
      <c r="J30" s="17"/>
      <c r="K30" s="841"/>
      <c r="L30" s="841"/>
      <c r="M30" s="841"/>
      <c r="N30" s="841"/>
      <c r="O30" s="841"/>
      <c r="P30" s="841"/>
      <c r="Q30" s="475" t="s">
        <v>536</v>
      </c>
      <c r="S30" s="841"/>
    </row>
    <row r="31" spans="1:19" ht="13.5" x14ac:dyDescent="0.25">
      <c r="A31" s="214"/>
      <c r="B31" s="383"/>
      <c r="C31" s="841"/>
      <c r="D31" s="17"/>
      <c r="E31" s="17"/>
      <c r="F31" s="17"/>
      <c r="G31" s="17"/>
      <c r="H31" s="214"/>
      <c r="J31" s="17"/>
      <c r="K31" s="841"/>
      <c r="L31" s="841"/>
      <c r="M31" s="841"/>
      <c r="N31" s="841"/>
      <c r="O31" s="841"/>
      <c r="P31" s="841"/>
      <c r="Q31" s="476"/>
      <c r="R31" s="17"/>
      <c r="S31" s="17"/>
    </row>
    <row r="32" spans="1:19" ht="13.5" x14ac:dyDescent="0.25">
      <c r="A32" s="214" t="s">
        <v>535</v>
      </c>
      <c r="B32" s="210"/>
      <c r="C32" s="210"/>
      <c r="D32" s="210"/>
      <c r="E32" s="210"/>
      <c r="F32" s="210"/>
      <c r="G32" s="210"/>
      <c r="H32" s="214" t="s">
        <v>41</v>
      </c>
      <c r="J32" s="210" t="s">
        <v>99</v>
      </c>
      <c r="Q32" s="477" t="s">
        <v>537</v>
      </c>
      <c r="R32" s="841"/>
      <c r="S32" s="841"/>
    </row>
  </sheetData>
  <autoFilter ref="A16:S17">
    <filterColumn colId="1" showButton="0"/>
    <filterColumn colId="2" showButton="0"/>
    <filterColumn colId="11" showButton="0"/>
    <filterColumn colId="17" showButton="0"/>
    <sortState ref="A19:S26">
      <sortCondition ref="P16:P17"/>
    </sortState>
  </autoFilter>
  <mergeCells count="30">
    <mergeCell ref="B1:S1"/>
    <mergeCell ref="B2:S2"/>
    <mergeCell ref="B3:S3"/>
    <mergeCell ref="B4:S4"/>
    <mergeCell ref="A7:B7"/>
    <mergeCell ref="Q7:S7"/>
    <mergeCell ref="A8:B8"/>
    <mergeCell ref="C8:O8"/>
    <mergeCell ref="Q8:S8"/>
    <mergeCell ref="A9:B9"/>
    <mergeCell ref="C9:O9"/>
    <mergeCell ref="Q9:S9"/>
    <mergeCell ref="C10:O10"/>
    <mergeCell ref="C11:O11"/>
    <mergeCell ref="C12:O12"/>
    <mergeCell ref="A16:A17"/>
    <mergeCell ref="B16:D17"/>
    <mergeCell ref="E16:E17"/>
    <mergeCell ref="F16:F17"/>
    <mergeCell ref="G16:G17"/>
    <mergeCell ref="H16:H17"/>
    <mergeCell ref="I16:I17"/>
    <mergeCell ref="Q16:Q17"/>
    <mergeCell ref="R16:S17"/>
    <mergeCell ref="J16:J17"/>
    <mergeCell ref="K16:K17"/>
    <mergeCell ref="L16:M16"/>
    <mergeCell ref="N16:N17"/>
    <mergeCell ref="O16:O17"/>
    <mergeCell ref="P16:P1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colBreaks count="1" manualBreakCount="1">
    <brk id="19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9"/>
  <sheetViews>
    <sheetView topLeftCell="A14" zoomScaleSheetLayoutView="100" workbookViewId="0">
      <selection activeCell="R27" sqref="R27"/>
    </sheetView>
  </sheetViews>
  <sheetFormatPr defaultRowHeight="12.75" x14ac:dyDescent="0.2"/>
  <cols>
    <col min="1" max="1" width="7.42578125" customWidth="1"/>
    <col min="2" max="2" width="24.42578125" style="167" customWidth="1"/>
    <col min="3" max="3" width="4.28515625" customWidth="1"/>
    <col min="4" max="4" width="1.28515625" hidden="1" customWidth="1"/>
    <col min="7" max="7" width="24.140625" customWidth="1"/>
    <col min="8" max="8" width="9.7109375" customWidth="1"/>
    <col min="11" max="15" width="7.7109375" customWidth="1"/>
    <col min="16" max="16" width="6.42578125" customWidth="1"/>
    <col min="17" max="17" width="9.42578125" customWidth="1"/>
    <col min="18" max="18" width="13.140625" customWidth="1"/>
    <col min="19" max="19" width="7.7109375" customWidth="1"/>
  </cols>
  <sheetData>
    <row r="1" spans="1:19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</row>
    <row r="2" spans="1:19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</row>
    <row r="3" spans="1:19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</row>
    <row r="4" spans="1:19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</row>
    <row r="5" spans="1:19" ht="28.15" customHeight="1" x14ac:dyDescent="0.2">
      <c r="A5" s="186"/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M5" s="836"/>
      <c r="N5" s="836"/>
      <c r="O5" s="836"/>
      <c r="P5" s="836"/>
      <c r="Q5" s="836"/>
      <c r="R5" s="836"/>
      <c r="S5" s="836"/>
    </row>
    <row r="6" spans="1:19" ht="28.15" customHeight="1" x14ac:dyDescent="0.2">
      <c r="A6" s="186"/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836"/>
      <c r="Q6" s="836"/>
      <c r="R6" s="836"/>
      <c r="S6" s="836"/>
    </row>
    <row r="7" spans="1:19" ht="13.5" x14ac:dyDescent="0.25">
      <c r="A7" s="970" t="s">
        <v>681</v>
      </c>
      <c r="B7" s="970"/>
      <c r="C7" s="84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70" t="s">
        <v>2</v>
      </c>
      <c r="R7" s="970"/>
      <c r="S7" s="970"/>
    </row>
    <row r="8" spans="1:19" ht="15.75" x14ac:dyDescent="0.25">
      <c r="A8" s="984" t="s">
        <v>530</v>
      </c>
      <c r="B8" s="984"/>
      <c r="C8" s="983" t="s">
        <v>3</v>
      </c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835"/>
      <c r="Q8" s="970" t="s">
        <v>4</v>
      </c>
      <c r="R8" s="970"/>
      <c r="S8" s="970"/>
    </row>
    <row r="9" spans="1:19" ht="16.149999999999999" customHeight="1" x14ac:dyDescent="0.25">
      <c r="A9" s="974" t="s">
        <v>5</v>
      </c>
      <c r="B9" s="974"/>
      <c r="C9" s="1022" t="s">
        <v>539</v>
      </c>
      <c r="D9" s="1022"/>
      <c r="E9" s="1022"/>
      <c r="F9" s="1022"/>
      <c r="G9" s="1022"/>
      <c r="H9" s="1022"/>
      <c r="I9" s="1022"/>
      <c r="J9" s="1022"/>
      <c r="K9" s="1022"/>
      <c r="L9" s="1022"/>
      <c r="M9" s="1022"/>
      <c r="N9" s="1022"/>
      <c r="O9" s="1022"/>
      <c r="P9" s="839"/>
      <c r="Q9" s="974" t="s">
        <v>7</v>
      </c>
      <c r="R9" s="974"/>
      <c r="S9" s="974"/>
    </row>
    <row r="10" spans="1:19" ht="15.75" x14ac:dyDescent="0.25">
      <c r="A10" s="159" t="s">
        <v>22</v>
      </c>
      <c r="B10" s="834" t="s">
        <v>541</v>
      </c>
      <c r="C10" s="983" t="s">
        <v>533</v>
      </c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835"/>
      <c r="Q10" s="834" t="s">
        <v>8</v>
      </c>
      <c r="R10" s="834" t="s">
        <v>9</v>
      </c>
      <c r="S10" s="834" t="s">
        <v>10</v>
      </c>
    </row>
    <row r="11" spans="1:19" ht="15.75" x14ac:dyDescent="0.25">
      <c r="A11" s="161">
        <v>148</v>
      </c>
      <c r="B11" s="161" t="s">
        <v>545</v>
      </c>
      <c r="C11" s="983" t="s">
        <v>540</v>
      </c>
      <c r="D11" s="983"/>
      <c r="E11" s="983"/>
      <c r="F11" s="983"/>
      <c r="G11" s="983"/>
      <c r="H11" s="983"/>
      <c r="I11" s="983"/>
      <c r="J11" s="983"/>
      <c r="K11" s="983"/>
      <c r="L11" s="983"/>
      <c r="M11" s="983"/>
      <c r="N11" s="983"/>
      <c r="O11" s="983"/>
      <c r="P11" s="835"/>
      <c r="Q11" s="4">
        <v>97</v>
      </c>
      <c r="R11" s="4">
        <v>140</v>
      </c>
      <c r="S11" s="4">
        <v>205</v>
      </c>
    </row>
    <row r="12" spans="1:19" ht="16.5" thickBot="1" x14ac:dyDescent="0.3">
      <c r="A12" s="5"/>
      <c r="B12" s="384"/>
      <c r="C12" s="983" t="s">
        <v>550</v>
      </c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983"/>
      <c r="O12" s="983"/>
      <c r="P12" s="835"/>
      <c r="Q12" s="6"/>
      <c r="R12" s="6"/>
      <c r="S12" s="6"/>
    </row>
    <row r="13" spans="1:19" ht="15.75" x14ac:dyDescent="0.2">
      <c r="A13" s="385" t="s">
        <v>13</v>
      </c>
      <c r="B13" s="8"/>
      <c r="C13" s="10">
        <v>44</v>
      </c>
      <c r="F13" s="836"/>
      <c r="G13" s="836"/>
      <c r="H13" s="836"/>
      <c r="I13" s="836"/>
      <c r="J13" s="836"/>
      <c r="K13" s="836"/>
      <c r="L13" s="836"/>
      <c r="M13" s="836"/>
      <c r="N13" s="836"/>
      <c r="O13" s="836"/>
      <c r="P13" s="836"/>
      <c r="Q13" s="12"/>
      <c r="R13" s="12"/>
      <c r="S13" s="12"/>
    </row>
    <row r="14" spans="1:19" ht="13.5" thickBot="1" x14ac:dyDescent="0.25">
      <c r="A14" s="386" t="s">
        <v>14</v>
      </c>
      <c r="B14" s="14"/>
      <c r="C14" s="16">
        <v>270</v>
      </c>
      <c r="F14" s="836"/>
      <c r="G14" s="836"/>
      <c r="H14" s="836"/>
      <c r="I14" s="836"/>
      <c r="J14" s="836"/>
      <c r="K14" s="836"/>
      <c r="L14" s="836"/>
      <c r="M14" s="836"/>
      <c r="N14" s="836"/>
      <c r="O14" s="836"/>
      <c r="P14" s="836"/>
      <c r="Q14" s="6"/>
      <c r="R14" s="6"/>
      <c r="S14" s="6"/>
    </row>
    <row r="15" spans="1:19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15</v>
      </c>
      <c r="L16" s="1060" t="s">
        <v>46</v>
      </c>
      <c r="M16" s="1061"/>
      <c r="N16" s="973" t="s">
        <v>15</v>
      </c>
      <c r="O16" s="973" t="s">
        <v>547</v>
      </c>
      <c r="P16" s="973" t="s">
        <v>548</v>
      </c>
      <c r="Q16" s="972" t="s">
        <v>24</v>
      </c>
      <c r="R16" s="972" t="s">
        <v>25</v>
      </c>
      <c r="S16" s="972"/>
    </row>
    <row r="17" spans="1:19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833" t="s">
        <v>84</v>
      </c>
      <c r="M17" s="833" t="s">
        <v>85</v>
      </c>
      <c r="N17" s="1062"/>
      <c r="O17" s="1062"/>
      <c r="P17" s="1062"/>
      <c r="Q17" s="973"/>
      <c r="R17" s="973"/>
      <c r="S17" s="973"/>
    </row>
    <row r="18" spans="1:19" s="24" customFormat="1" ht="15" customHeight="1" x14ac:dyDescent="0.25">
      <c r="A18" s="632" t="s">
        <v>686</v>
      </c>
      <c r="B18" s="487" t="s">
        <v>768</v>
      </c>
      <c r="C18" s="500"/>
      <c r="D18" s="875"/>
      <c r="E18" s="511">
        <v>1988</v>
      </c>
      <c r="F18" s="511" t="s">
        <v>10</v>
      </c>
      <c r="G18" s="244" t="s">
        <v>344</v>
      </c>
      <c r="H18" s="362"/>
      <c r="I18" s="808">
        <v>78</v>
      </c>
      <c r="J18" s="469">
        <v>151</v>
      </c>
      <c r="K18" s="469">
        <v>1</v>
      </c>
      <c r="L18" s="469">
        <v>186</v>
      </c>
      <c r="M18" s="466">
        <f t="shared" ref="M18:M31" si="0">L18/2</f>
        <v>93</v>
      </c>
      <c r="N18" s="469">
        <v>2</v>
      </c>
      <c r="O18" s="466">
        <f t="shared" ref="O18:O31" si="1">J18+M18</f>
        <v>244</v>
      </c>
      <c r="P18" s="469">
        <v>20</v>
      </c>
      <c r="Q18" s="467" t="str">
        <f t="shared" ref="Q18:Q24" si="2">IF(O18&gt;=$S$11,"МСМК",IF(O18&gt;=$R$11,"МС",IF(O18&gt;=$Q$11,"КМС","-")))</f>
        <v>МСМК</v>
      </c>
      <c r="R18" s="901" t="s">
        <v>769</v>
      </c>
      <c r="S18" s="802"/>
    </row>
    <row r="19" spans="1:19" s="24" customFormat="1" ht="15" x14ac:dyDescent="0.25">
      <c r="A19" s="632" t="s">
        <v>687</v>
      </c>
      <c r="B19" s="388" t="s">
        <v>93</v>
      </c>
      <c r="C19" s="243"/>
      <c r="D19" s="318"/>
      <c r="E19" s="263">
        <v>1987</v>
      </c>
      <c r="F19" s="244" t="s">
        <v>10</v>
      </c>
      <c r="G19" s="245" t="s">
        <v>35</v>
      </c>
      <c r="H19" s="231"/>
      <c r="I19" s="91">
        <v>77.7</v>
      </c>
      <c r="J19" s="466">
        <v>127</v>
      </c>
      <c r="K19" s="466">
        <v>2</v>
      </c>
      <c r="L19" s="466">
        <v>176</v>
      </c>
      <c r="M19" s="466">
        <f t="shared" si="0"/>
        <v>88</v>
      </c>
      <c r="N19" s="466">
        <v>4</v>
      </c>
      <c r="O19" s="466">
        <f t="shared" si="1"/>
        <v>215</v>
      </c>
      <c r="P19" s="466">
        <v>18</v>
      </c>
      <c r="Q19" s="467" t="str">
        <f t="shared" si="2"/>
        <v>МСМК</v>
      </c>
      <c r="R19" s="229" t="s">
        <v>767</v>
      </c>
      <c r="S19" s="812"/>
    </row>
    <row r="20" spans="1:19" s="24" customFormat="1" ht="17.25" customHeight="1" x14ac:dyDescent="0.25">
      <c r="A20" s="632" t="s">
        <v>688</v>
      </c>
      <c r="B20" s="534" t="s">
        <v>764</v>
      </c>
      <c r="C20" s="813"/>
      <c r="D20" s="565"/>
      <c r="E20" s="535">
        <v>1995</v>
      </c>
      <c r="F20" s="509" t="s">
        <v>10</v>
      </c>
      <c r="G20" s="244" t="s">
        <v>765</v>
      </c>
      <c r="H20" s="469"/>
      <c r="I20" s="472">
        <v>77.95</v>
      </c>
      <c r="J20" s="469">
        <v>117</v>
      </c>
      <c r="K20" s="466">
        <v>4</v>
      </c>
      <c r="L20" s="572">
        <v>187</v>
      </c>
      <c r="M20" s="466">
        <f t="shared" si="0"/>
        <v>93.5</v>
      </c>
      <c r="N20" s="572">
        <v>1</v>
      </c>
      <c r="O20" s="466">
        <f t="shared" si="1"/>
        <v>210.5</v>
      </c>
      <c r="P20" s="469">
        <v>16</v>
      </c>
      <c r="Q20" s="467" t="str">
        <f t="shared" si="2"/>
        <v>МСМК</v>
      </c>
      <c r="R20" s="876" t="s">
        <v>766</v>
      </c>
      <c r="S20" s="810"/>
    </row>
    <row r="21" spans="1:19" s="24" customFormat="1" ht="15.75" customHeight="1" x14ac:dyDescent="0.25">
      <c r="A21" s="632" t="s">
        <v>689</v>
      </c>
      <c r="B21" s="487" t="s">
        <v>157</v>
      </c>
      <c r="C21" s="500"/>
      <c r="D21" s="875"/>
      <c r="E21" s="511">
        <v>1989</v>
      </c>
      <c r="F21" s="511" t="s">
        <v>10</v>
      </c>
      <c r="G21" s="244" t="s">
        <v>770</v>
      </c>
      <c r="H21" s="496"/>
      <c r="I21" s="808">
        <v>76.849999999999994</v>
      </c>
      <c r="J21" s="231">
        <v>121</v>
      </c>
      <c r="K21" s="466">
        <v>3</v>
      </c>
      <c r="L21" s="880">
        <v>173</v>
      </c>
      <c r="M21" s="466">
        <f t="shared" si="0"/>
        <v>86.5</v>
      </c>
      <c r="N21" s="882">
        <v>6</v>
      </c>
      <c r="O21" s="466">
        <f t="shared" si="1"/>
        <v>207.5</v>
      </c>
      <c r="P21" s="883">
        <v>15</v>
      </c>
      <c r="Q21" s="467" t="str">
        <f t="shared" si="2"/>
        <v>МСМК</v>
      </c>
      <c r="R21" s="877" t="s">
        <v>159</v>
      </c>
      <c r="S21" s="233"/>
    </row>
    <row r="22" spans="1:19" s="24" customFormat="1" ht="15" x14ac:dyDescent="0.25">
      <c r="A22" s="632" t="s">
        <v>690</v>
      </c>
      <c r="B22" s="534" t="s">
        <v>361</v>
      </c>
      <c r="C22" s="813"/>
      <c r="D22" s="565"/>
      <c r="E22" s="535">
        <v>1993</v>
      </c>
      <c r="F22" s="509" t="s">
        <v>9</v>
      </c>
      <c r="G22" s="473" t="s">
        <v>218</v>
      </c>
      <c r="H22" s="471"/>
      <c r="I22" s="472">
        <v>76.55</v>
      </c>
      <c r="J22" s="471">
        <v>99</v>
      </c>
      <c r="K22" s="466">
        <v>8</v>
      </c>
      <c r="L22" s="765">
        <v>174</v>
      </c>
      <c r="M22" s="466">
        <f t="shared" si="0"/>
        <v>87</v>
      </c>
      <c r="N22" s="767">
        <v>5</v>
      </c>
      <c r="O22" s="466">
        <f t="shared" si="1"/>
        <v>186</v>
      </c>
      <c r="P22" s="471">
        <v>14</v>
      </c>
      <c r="Q22" s="467" t="str">
        <f t="shared" si="2"/>
        <v>МС</v>
      </c>
      <c r="R22" s="843" t="s">
        <v>366</v>
      </c>
      <c r="S22" s="803"/>
    </row>
    <row r="23" spans="1:19" s="24" customFormat="1" ht="15" x14ac:dyDescent="0.25">
      <c r="A23" s="632" t="s">
        <v>691</v>
      </c>
      <c r="B23" s="487" t="s">
        <v>630</v>
      </c>
      <c r="C23" s="500"/>
      <c r="D23" s="875"/>
      <c r="E23" s="496">
        <v>1999</v>
      </c>
      <c r="F23" s="496" t="s">
        <v>9</v>
      </c>
      <c r="G23" s="471" t="s">
        <v>35</v>
      </c>
      <c r="H23" s="496"/>
      <c r="I23" s="808">
        <v>77.3</v>
      </c>
      <c r="J23" s="471">
        <v>98</v>
      </c>
      <c r="K23" s="466">
        <v>9</v>
      </c>
      <c r="L23" s="471">
        <v>170</v>
      </c>
      <c r="M23" s="466">
        <f t="shared" si="0"/>
        <v>85</v>
      </c>
      <c r="N23" s="471">
        <v>7</v>
      </c>
      <c r="O23" s="466">
        <f t="shared" si="1"/>
        <v>183</v>
      </c>
      <c r="P23" s="546">
        <v>13</v>
      </c>
      <c r="Q23" s="467" t="str">
        <f t="shared" si="2"/>
        <v>МС</v>
      </c>
      <c r="R23" s="388" t="s">
        <v>631</v>
      </c>
      <c r="S23" s="803"/>
    </row>
    <row r="24" spans="1:19" s="24" customFormat="1" ht="15" x14ac:dyDescent="0.25">
      <c r="A24" s="632" t="s">
        <v>692</v>
      </c>
      <c r="B24" s="487" t="s">
        <v>771</v>
      </c>
      <c r="C24" s="500"/>
      <c r="D24" s="875"/>
      <c r="E24" s="511">
        <v>1993</v>
      </c>
      <c r="F24" s="511" t="s">
        <v>9</v>
      </c>
      <c r="G24" s="244" t="s">
        <v>772</v>
      </c>
      <c r="H24" s="496" t="s">
        <v>31</v>
      </c>
      <c r="I24" s="808">
        <v>74.05</v>
      </c>
      <c r="J24" s="633">
        <v>107</v>
      </c>
      <c r="K24" s="466">
        <v>6</v>
      </c>
      <c r="L24" s="471">
        <v>137</v>
      </c>
      <c r="M24" s="466">
        <f t="shared" si="0"/>
        <v>68.5</v>
      </c>
      <c r="N24" s="471">
        <v>8</v>
      </c>
      <c r="O24" s="466">
        <f t="shared" si="1"/>
        <v>175.5</v>
      </c>
      <c r="P24" s="471">
        <v>12</v>
      </c>
      <c r="Q24" s="467" t="str">
        <f t="shared" si="2"/>
        <v>МС</v>
      </c>
      <c r="R24" s="422" t="s">
        <v>773</v>
      </c>
      <c r="S24" s="803"/>
    </row>
    <row r="25" spans="1:19" s="24" customFormat="1" ht="15" x14ac:dyDescent="0.25">
      <c r="A25" s="632" t="s">
        <v>693</v>
      </c>
      <c r="B25" s="388" t="s">
        <v>484</v>
      </c>
      <c r="C25" s="243"/>
      <c r="D25" s="318"/>
      <c r="E25" s="263">
        <v>1998</v>
      </c>
      <c r="F25" s="244" t="s">
        <v>8</v>
      </c>
      <c r="G25" s="244" t="s">
        <v>33</v>
      </c>
      <c r="H25" s="511" t="s">
        <v>31</v>
      </c>
      <c r="I25" s="870">
        <v>77.599999999999994</v>
      </c>
      <c r="J25" s="471">
        <v>104</v>
      </c>
      <c r="K25" s="466">
        <v>7</v>
      </c>
      <c r="L25" s="471">
        <v>122</v>
      </c>
      <c r="M25" s="466">
        <f t="shared" si="0"/>
        <v>61</v>
      </c>
      <c r="N25" s="471">
        <v>10</v>
      </c>
      <c r="O25" s="466">
        <f t="shared" si="1"/>
        <v>165</v>
      </c>
      <c r="P25" s="471">
        <v>11</v>
      </c>
      <c r="Q25" s="890" t="s">
        <v>718</v>
      </c>
      <c r="R25" s="871" t="s">
        <v>761</v>
      </c>
      <c r="S25" s="803"/>
    </row>
    <row r="26" spans="1:19" s="24" customFormat="1" ht="15" x14ac:dyDescent="0.25">
      <c r="A26" s="632" t="s">
        <v>709</v>
      </c>
      <c r="B26" s="801" t="s">
        <v>763</v>
      </c>
      <c r="C26" s="805"/>
      <c r="D26" s="873"/>
      <c r="E26" s="535">
        <v>1998</v>
      </c>
      <c r="F26" s="473" t="s">
        <v>8</v>
      </c>
      <c r="G26" s="473" t="s">
        <v>27</v>
      </c>
      <c r="H26" s="473" t="s">
        <v>31</v>
      </c>
      <c r="I26" s="472">
        <v>77.8</v>
      </c>
      <c r="J26" s="471">
        <v>110</v>
      </c>
      <c r="K26" s="466">
        <v>5</v>
      </c>
      <c r="L26" s="471">
        <v>84</v>
      </c>
      <c r="M26" s="466">
        <f t="shared" si="0"/>
        <v>42</v>
      </c>
      <c r="N26" s="471">
        <v>14</v>
      </c>
      <c r="O26" s="466">
        <f t="shared" si="1"/>
        <v>152</v>
      </c>
      <c r="P26" s="471">
        <v>10</v>
      </c>
      <c r="Q26" s="890" t="s">
        <v>718</v>
      </c>
      <c r="R26" s="874" t="s">
        <v>183</v>
      </c>
      <c r="S26" s="803"/>
    </row>
    <row r="27" spans="1:19" s="24" customFormat="1" ht="15.75" customHeight="1" x14ac:dyDescent="0.25">
      <c r="A27" s="632" t="s">
        <v>710</v>
      </c>
      <c r="B27" s="388" t="s">
        <v>364</v>
      </c>
      <c r="C27" s="243"/>
      <c r="D27" s="318"/>
      <c r="E27" s="263">
        <v>1987</v>
      </c>
      <c r="F27" s="244" t="s">
        <v>9</v>
      </c>
      <c r="G27" s="245" t="s">
        <v>32</v>
      </c>
      <c r="H27" s="245" t="s">
        <v>31</v>
      </c>
      <c r="I27" s="91">
        <v>77.2</v>
      </c>
      <c r="J27" s="231">
        <v>94</v>
      </c>
      <c r="K27" s="466">
        <v>11</v>
      </c>
      <c r="L27" s="880">
        <v>112</v>
      </c>
      <c r="M27" s="466">
        <f t="shared" si="0"/>
        <v>56</v>
      </c>
      <c r="N27" s="882">
        <v>11</v>
      </c>
      <c r="O27" s="466">
        <f t="shared" si="1"/>
        <v>150</v>
      </c>
      <c r="P27" s="883">
        <v>9</v>
      </c>
      <c r="Q27" s="467" t="str">
        <f>IF(O27&gt;=$S$11,"МСМК",IF(O27&gt;=$R$11,"МС",IF(O27&gt;=$Q$11,"КМС","-")))</f>
        <v>МС</v>
      </c>
      <c r="R27" s="872" t="s">
        <v>762</v>
      </c>
      <c r="S27" s="233"/>
    </row>
    <row r="28" spans="1:19" s="24" customFormat="1" ht="15" x14ac:dyDescent="0.25">
      <c r="A28" s="632" t="s">
        <v>711</v>
      </c>
      <c r="B28" s="534" t="s">
        <v>757</v>
      </c>
      <c r="C28" s="813"/>
      <c r="D28" s="565"/>
      <c r="E28" s="535">
        <v>1993</v>
      </c>
      <c r="F28" s="509" t="s">
        <v>8</v>
      </c>
      <c r="G28" s="473" t="s">
        <v>35</v>
      </c>
      <c r="H28" s="473"/>
      <c r="I28" s="472">
        <v>77.849999999999994</v>
      </c>
      <c r="J28" s="473">
        <v>96</v>
      </c>
      <c r="K28" s="466">
        <v>10</v>
      </c>
      <c r="L28" s="879">
        <v>107</v>
      </c>
      <c r="M28" s="466">
        <f t="shared" si="0"/>
        <v>53.5</v>
      </c>
      <c r="N28" s="881">
        <v>12</v>
      </c>
      <c r="O28" s="466">
        <f t="shared" si="1"/>
        <v>149.5</v>
      </c>
      <c r="P28" s="473">
        <v>8</v>
      </c>
      <c r="Q28" s="890" t="s">
        <v>718</v>
      </c>
      <c r="R28" s="843" t="s">
        <v>758</v>
      </c>
      <c r="S28" s="564"/>
    </row>
    <row r="29" spans="1:19" s="24" customFormat="1" ht="15" x14ac:dyDescent="0.25">
      <c r="A29" s="632" t="s">
        <v>712</v>
      </c>
      <c r="B29" s="392" t="s">
        <v>638</v>
      </c>
      <c r="C29" s="303"/>
      <c r="D29" s="423"/>
      <c r="E29" s="556">
        <v>1984</v>
      </c>
      <c r="F29" s="578" t="s">
        <v>10</v>
      </c>
      <c r="G29" s="471" t="s">
        <v>489</v>
      </c>
      <c r="H29" s="869" t="s">
        <v>745</v>
      </c>
      <c r="I29" s="470">
        <v>76.8</v>
      </c>
      <c r="J29" s="473">
        <v>54</v>
      </c>
      <c r="K29" s="466">
        <v>13</v>
      </c>
      <c r="L29" s="473">
        <v>179</v>
      </c>
      <c r="M29" s="466">
        <f t="shared" si="0"/>
        <v>89.5</v>
      </c>
      <c r="N29" s="473">
        <v>3</v>
      </c>
      <c r="O29" s="466">
        <f t="shared" si="1"/>
        <v>143.5</v>
      </c>
      <c r="P29" s="536">
        <v>7</v>
      </c>
      <c r="Q29" s="467" t="str">
        <f>IF(O29&gt;=$S$11,"МСМК",IF(O29&gt;=$R$11,"МС",IF(O29&gt;=$Q$11,"КМС","-")))</f>
        <v>МС</v>
      </c>
      <c r="R29" s="422" t="s">
        <v>29</v>
      </c>
      <c r="S29" s="806"/>
    </row>
    <row r="30" spans="1:19" s="24" customFormat="1" ht="15" x14ac:dyDescent="0.25">
      <c r="A30" s="632" t="s">
        <v>716</v>
      </c>
      <c r="B30" s="534" t="s">
        <v>759</v>
      </c>
      <c r="C30" s="813"/>
      <c r="D30" s="565"/>
      <c r="E30" s="535">
        <v>1997</v>
      </c>
      <c r="F30" s="509" t="s">
        <v>8</v>
      </c>
      <c r="G30" s="473" t="s">
        <v>35</v>
      </c>
      <c r="H30" s="245"/>
      <c r="I30" s="472">
        <v>77.95</v>
      </c>
      <c r="J30" s="399">
        <v>67</v>
      </c>
      <c r="K30" s="466">
        <v>12</v>
      </c>
      <c r="L30" s="245">
        <v>98</v>
      </c>
      <c r="M30" s="466">
        <f t="shared" si="0"/>
        <v>49</v>
      </c>
      <c r="N30" s="245">
        <v>13</v>
      </c>
      <c r="O30" s="466">
        <f t="shared" si="1"/>
        <v>116</v>
      </c>
      <c r="P30" s="245">
        <v>6</v>
      </c>
      <c r="Q30" s="467" t="str">
        <f>IF(O30&gt;=$S$11,"МСМК",IF(O30&gt;=$R$11,"МС",IF(O30&gt;=$Q$11,"КМС","-")))</f>
        <v>КМС</v>
      </c>
      <c r="R30" s="868" t="s">
        <v>760</v>
      </c>
      <c r="S30" s="246"/>
    </row>
    <row r="31" spans="1:19" s="24" customFormat="1" ht="15" x14ac:dyDescent="0.25">
      <c r="A31" s="632" t="s">
        <v>810</v>
      </c>
      <c r="B31" s="534" t="s">
        <v>362</v>
      </c>
      <c r="C31" s="813"/>
      <c r="D31" s="565"/>
      <c r="E31" s="535">
        <v>1989</v>
      </c>
      <c r="F31" s="509" t="s">
        <v>9</v>
      </c>
      <c r="G31" s="473" t="s">
        <v>493</v>
      </c>
      <c r="H31" s="473"/>
      <c r="I31" s="472">
        <v>77.900000000000006</v>
      </c>
      <c r="J31" s="473">
        <v>46</v>
      </c>
      <c r="K31" s="466">
        <v>14</v>
      </c>
      <c r="L31" s="473">
        <v>130</v>
      </c>
      <c r="M31" s="466">
        <f t="shared" si="0"/>
        <v>65</v>
      </c>
      <c r="N31" s="473">
        <v>9</v>
      </c>
      <c r="O31" s="466">
        <f t="shared" si="1"/>
        <v>111</v>
      </c>
      <c r="P31" s="473">
        <v>5</v>
      </c>
      <c r="Q31" s="467" t="str">
        <f>IF(O31&gt;=$S$11,"МСМК",IF(O31&gt;=$R$11,"МС",IF(O31&gt;=$Q$11,"КМС","-")))</f>
        <v>КМС</v>
      </c>
      <c r="R31" s="464" t="s">
        <v>303</v>
      </c>
      <c r="S31" s="564"/>
    </row>
    <row r="32" spans="1:19" s="24" customFormat="1" ht="15" x14ac:dyDescent="0.25">
      <c r="A32" s="814"/>
      <c r="B32" s="183"/>
      <c r="C32" s="431"/>
      <c r="D32" s="431"/>
      <c r="E32" s="436"/>
      <c r="F32" s="437"/>
      <c r="G32" s="326"/>
      <c r="H32" s="326"/>
      <c r="I32" s="439"/>
      <c r="J32" s="326"/>
      <c r="K32" s="789"/>
      <c r="L32" s="815"/>
      <c r="M32" s="270"/>
      <c r="N32" s="270"/>
    </row>
    <row r="33" spans="1:19" s="24" customFormat="1" ht="15.75" x14ac:dyDescent="0.25">
      <c r="A33" s="814"/>
      <c r="B33" s="791" t="s">
        <v>807</v>
      </c>
      <c r="C33" s="792"/>
      <c r="D33" s="792"/>
      <c r="E33" s="793"/>
      <c r="F33" s="794"/>
      <c r="G33" s="795"/>
      <c r="H33" s="326"/>
      <c r="I33" s="439"/>
      <c r="J33" s="326"/>
      <c r="K33" s="789"/>
      <c r="L33" s="815"/>
      <c r="M33" s="270"/>
      <c r="N33" s="270"/>
    </row>
    <row r="34" spans="1:19" s="24" customFormat="1" ht="15" x14ac:dyDescent="0.25">
      <c r="A34" s="814"/>
      <c r="B34" s="183"/>
      <c r="C34" s="431"/>
      <c r="D34" s="431"/>
      <c r="E34" s="436"/>
      <c r="F34" s="437"/>
      <c r="G34" s="326"/>
      <c r="H34" s="326"/>
      <c r="I34" s="439"/>
      <c r="J34" s="326"/>
      <c r="K34" s="789"/>
      <c r="L34" s="815"/>
      <c r="M34" s="270"/>
      <c r="N34" s="270"/>
    </row>
    <row r="35" spans="1:19" s="24" customFormat="1" ht="15.75" x14ac:dyDescent="0.25">
      <c r="A35" s="814"/>
      <c r="B35" s="791" t="s">
        <v>811</v>
      </c>
      <c r="C35" s="792"/>
      <c r="D35" s="792"/>
      <c r="E35" s="793"/>
      <c r="F35" s="794"/>
      <c r="G35" s="795"/>
      <c r="H35" s="326"/>
      <c r="I35" s="439"/>
      <c r="J35" s="326"/>
      <c r="K35" s="789"/>
      <c r="L35" s="815"/>
      <c r="M35" s="270"/>
      <c r="N35" s="270"/>
    </row>
    <row r="36" spans="1:19" x14ac:dyDescent="0.2">
      <c r="A36" s="17"/>
      <c r="B36" s="215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9" ht="13.5" x14ac:dyDescent="0.25">
      <c r="A37" s="214" t="s">
        <v>534</v>
      </c>
      <c r="B37" s="210"/>
      <c r="C37" s="210"/>
      <c r="D37" s="210"/>
      <c r="E37" s="210"/>
      <c r="F37" s="210"/>
      <c r="G37" s="210"/>
      <c r="H37" s="214" t="s">
        <v>40</v>
      </c>
      <c r="J37" s="17"/>
      <c r="K37" s="841"/>
      <c r="L37" s="841"/>
      <c r="M37" s="841"/>
      <c r="N37" s="841"/>
      <c r="O37" s="841"/>
      <c r="P37" s="841"/>
      <c r="Q37" s="475" t="s">
        <v>536</v>
      </c>
      <c r="S37" s="841"/>
    </row>
    <row r="38" spans="1:19" ht="13.5" x14ac:dyDescent="0.25">
      <c r="A38" s="214"/>
      <c r="B38" s="383"/>
      <c r="C38" s="841"/>
      <c r="D38" s="17"/>
      <c r="E38" s="17"/>
      <c r="F38" s="17"/>
      <c r="G38" s="17"/>
      <c r="H38" s="214"/>
      <c r="J38" s="17"/>
      <c r="K38" s="841"/>
      <c r="L38" s="841"/>
      <c r="M38" s="841"/>
      <c r="N38" s="841"/>
      <c r="O38" s="841"/>
      <c r="P38" s="841"/>
      <c r="Q38" s="476"/>
      <c r="R38" s="17"/>
      <c r="S38" s="17"/>
    </row>
    <row r="39" spans="1:19" ht="13.5" x14ac:dyDescent="0.25">
      <c r="A39" s="214" t="s">
        <v>535</v>
      </c>
      <c r="B39" s="210"/>
      <c r="C39" s="210"/>
      <c r="D39" s="210"/>
      <c r="E39" s="210"/>
      <c r="F39" s="210"/>
      <c r="G39" s="210"/>
      <c r="H39" s="214" t="s">
        <v>41</v>
      </c>
      <c r="J39" s="210" t="s">
        <v>99</v>
      </c>
      <c r="Q39" s="477" t="s">
        <v>537</v>
      </c>
      <c r="R39" s="841"/>
      <c r="S39" s="841"/>
    </row>
  </sheetData>
  <autoFilter ref="A16:S17">
    <filterColumn colId="1" showButton="0"/>
    <filterColumn colId="2" showButton="0"/>
    <filterColumn colId="11" showButton="0"/>
    <filterColumn colId="17" showButton="0"/>
    <sortState ref="A19:S31">
      <sortCondition descending="1" ref="O16:O17"/>
    </sortState>
  </autoFilter>
  <mergeCells count="30">
    <mergeCell ref="B1:S1"/>
    <mergeCell ref="B2:S2"/>
    <mergeCell ref="B3:S3"/>
    <mergeCell ref="B4:S4"/>
    <mergeCell ref="A7:B7"/>
    <mergeCell ref="Q7:S7"/>
    <mergeCell ref="A8:B8"/>
    <mergeCell ref="C8:O8"/>
    <mergeCell ref="Q8:S8"/>
    <mergeCell ref="A9:B9"/>
    <mergeCell ref="C9:O9"/>
    <mergeCell ref="Q9:S9"/>
    <mergeCell ref="C10:O10"/>
    <mergeCell ref="C11:O11"/>
    <mergeCell ref="C12:O12"/>
    <mergeCell ref="A16:A17"/>
    <mergeCell ref="B16:D17"/>
    <mergeCell ref="E16:E17"/>
    <mergeCell ref="F16:F17"/>
    <mergeCell ref="G16:G17"/>
    <mergeCell ref="H16:H17"/>
    <mergeCell ref="I16:I17"/>
    <mergeCell ref="Q16:Q17"/>
    <mergeCell ref="R16:S17"/>
    <mergeCell ref="J16:J17"/>
    <mergeCell ref="K16:K17"/>
    <mergeCell ref="L16:M16"/>
    <mergeCell ref="N16:N17"/>
    <mergeCell ref="O16:O17"/>
    <mergeCell ref="P16:P17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19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opLeftCell="A13" zoomScaleSheetLayoutView="100" workbookViewId="0">
      <selection activeCell="H23" sqref="H23"/>
    </sheetView>
  </sheetViews>
  <sheetFormatPr defaultRowHeight="12.75" x14ac:dyDescent="0.2"/>
  <cols>
    <col min="1" max="1" width="7.42578125" customWidth="1"/>
    <col min="2" max="2" width="24.42578125" style="167" customWidth="1"/>
    <col min="3" max="3" width="4" customWidth="1"/>
    <col min="4" max="4" width="0.85546875" hidden="1" customWidth="1"/>
    <col min="7" max="7" width="24.140625" customWidth="1"/>
    <col min="8" max="8" width="9.7109375" customWidth="1"/>
    <col min="11" max="15" width="7.7109375" customWidth="1"/>
    <col min="16" max="16" width="6.7109375" customWidth="1"/>
    <col min="17" max="17" width="9.42578125" customWidth="1"/>
    <col min="18" max="18" width="13.140625" customWidth="1"/>
    <col min="19" max="19" width="7.7109375" customWidth="1"/>
  </cols>
  <sheetData>
    <row r="1" spans="1:19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</row>
    <row r="2" spans="1:19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</row>
    <row r="3" spans="1:19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</row>
    <row r="4" spans="1:19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</row>
    <row r="5" spans="1:19" ht="28.15" customHeight="1" x14ac:dyDescent="0.2">
      <c r="A5" s="186"/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M5" s="836"/>
      <c r="N5" s="836"/>
      <c r="O5" s="836"/>
      <c r="P5" s="836"/>
      <c r="Q5" s="836"/>
      <c r="R5" s="836"/>
      <c r="S5" s="836"/>
    </row>
    <row r="6" spans="1:19" ht="28.15" customHeight="1" x14ac:dyDescent="0.2">
      <c r="A6" s="186"/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836"/>
      <c r="Q6" s="836"/>
      <c r="R6" s="836"/>
      <c r="S6" s="836"/>
    </row>
    <row r="7" spans="1:19" ht="13.5" x14ac:dyDescent="0.25">
      <c r="A7" s="970" t="s">
        <v>681</v>
      </c>
      <c r="B7" s="970"/>
      <c r="C7" s="84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70" t="s">
        <v>2</v>
      </c>
      <c r="R7" s="970"/>
      <c r="S7" s="970"/>
    </row>
    <row r="8" spans="1:19" ht="15.75" x14ac:dyDescent="0.25">
      <c r="A8" s="984" t="s">
        <v>530</v>
      </c>
      <c r="B8" s="984"/>
      <c r="C8" s="983" t="s">
        <v>3</v>
      </c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835"/>
      <c r="Q8" s="970" t="s">
        <v>4</v>
      </c>
      <c r="R8" s="970"/>
      <c r="S8" s="970"/>
    </row>
    <row r="9" spans="1:19" ht="16.149999999999999" customHeight="1" x14ac:dyDescent="0.25">
      <c r="A9" s="974" t="s">
        <v>5</v>
      </c>
      <c r="B9" s="974"/>
      <c r="C9" s="1022" t="s">
        <v>539</v>
      </c>
      <c r="D9" s="1022"/>
      <c r="E9" s="1022"/>
      <c r="F9" s="1022"/>
      <c r="G9" s="1022"/>
      <c r="H9" s="1022"/>
      <c r="I9" s="1022"/>
      <c r="J9" s="1022"/>
      <c r="K9" s="1022"/>
      <c r="L9" s="1022"/>
      <c r="M9" s="1022"/>
      <c r="N9" s="1022"/>
      <c r="O9" s="1022"/>
      <c r="P9" s="839"/>
      <c r="Q9" s="974" t="s">
        <v>7</v>
      </c>
      <c r="R9" s="974"/>
      <c r="S9" s="974"/>
    </row>
    <row r="10" spans="1:19" ht="15.75" x14ac:dyDescent="0.25">
      <c r="A10" s="159" t="s">
        <v>22</v>
      </c>
      <c r="B10" s="834" t="s">
        <v>541</v>
      </c>
      <c r="C10" s="983" t="s">
        <v>533</v>
      </c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835"/>
      <c r="Q10" s="834" t="s">
        <v>8</v>
      </c>
      <c r="R10" s="834" t="s">
        <v>9</v>
      </c>
      <c r="S10" s="834" t="s">
        <v>10</v>
      </c>
    </row>
    <row r="11" spans="1:19" ht="15.75" x14ac:dyDescent="0.25">
      <c r="A11" s="511">
        <v>166</v>
      </c>
      <c r="B11" s="511" t="s">
        <v>546</v>
      </c>
      <c r="C11" s="983" t="s">
        <v>540</v>
      </c>
      <c r="D11" s="983"/>
      <c r="E11" s="983"/>
      <c r="F11" s="983"/>
      <c r="G11" s="983"/>
      <c r="H11" s="983"/>
      <c r="I11" s="983"/>
      <c r="J11" s="983"/>
      <c r="K11" s="983"/>
      <c r="L11" s="983"/>
      <c r="M11" s="983"/>
      <c r="N11" s="983"/>
      <c r="O11" s="983"/>
      <c r="P11" s="835"/>
      <c r="Q11" s="770">
        <v>111</v>
      </c>
      <c r="R11" s="770">
        <v>150</v>
      </c>
      <c r="S11" s="770">
        <v>215</v>
      </c>
    </row>
    <row r="12" spans="1:19" ht="16.5" thickBot="1" x14ac:dyDescent="0.3">
      <c r="A12" s="5"/>
      <c r="B12" s="384"/>
      <c r="C12" s="983" t="s">
        <v>393</v>
      </c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983"/>
      <c r="O12" s="983"/>
      <c r="P12" s="835"/>
      <c r="Q12" s="6"/>
      <c r="R12" s="6"/>
      <c r="S12" s="6"/>
    </row>
    <row r="13" spans="1:19" ht="15.75" x14ac:dyDescent="0.2">
      <c r="A13" s="385" t="s">
        <v>13</v>
      </c>
      <c r="B13" s="8"/>
      <c r="C13" s="10">
        <v>44</v>
      </c>
      <c r="F13" s="836"/>
      <c r="G13" s="836"/>
      <c r="H13" s="836"/>
      <c r="I13" s="836"/>
      <c r="J13" s="836"/>
      <c r="K13" s="836"/>
      <c r="L13" s="836"/>
      <c r="M13" s="836"/>
      <c r="N13" s="836"/>
      <c r="O13" s="836"/>
      <c r="P13" s="836"/>
      <c r="Q13" s="12"/>
      <c r="R13" s="12"/>
      <c r="S13" s="12"/>
    </row>
    <row r="14" spans="1:19" ht="13.5" thickBot="1" x14ac:dyDescent="0.25">
      <c r="A14" s="386" t="s">
        <v>14</v>
      </c>
      <c r="B14" s="14"/>
      <c r="C14" s="16">
        <v>270</v>
      </c>
      <c r="F14" s="836"/>
      <c r="G14" s="836"/>
      <c r="H14" s="836"/>
      <c r="I14" s="836"/>
      <c r="J14" s="836"/>
      <c r="K14" s="836"/>
      <c r="L14" s="836"/>
      <c r="M14" s="836"/>
      <c r="N14" s="836"/>
      <c r="O14" s="836"/>
      <c r="P14" s="836"/>
      <c r="Q14" s="6"/>
      <c r="R14" s="6"/>
      <c r="S14" s="6"/>
    </row>
    <row r="15" spans="1:19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15</v>
      </c>
      <c r="L16" s="1060" t="s">
        <v>46</v>
      </c>
      <c r="M16" s="1061"/>
      <c r="N16" s="973" t="s">
        <v>15</v>
      </c>
      <c r="O16" s="973" t="s">
        <v>547</v>
      </c>
      <c r="P16" s="973" t="s">
        <v>548</v>
      </c>
      <c r="Q16" s="972" t="s">
        <v>24</v>
      </c>
      <c r="R16" s="972" t="s">
        <v>25</v>
      </c>
      <c r="S16" s="972"/>
    </row>
    <row r="17" spans="1:19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833" t="s">
        <v>84</v>
      </c>
      <c r="M17" s="833" t="s">
        <v>85</v>
      </c>
      <c r="N17" s="1062"/>
      <c r="O17" s="1062"/>
      <c r="P17" s="1062"/>
      <c r="Q17" s="973"/>
      <c r="R17" s="973"/>
      <c r="S17" s="973"/>
    </row>
    <row r="18" spans="1:19" s="24" customFormat="1" ht="14.25" customHeight="1" x14ac:dyDescent="0.25">
      <c r="A18" s="948">
        <v>1</v>
      </c>
      <c r="B18" s="489" t="s">
        <v>371</v>
      </c>
      <c r="C18" s="478"/>
      <c r="D18" s="479"/>
      <c r="E18" s="480">
        <v>1979</v>
      </c>
      <c r="F18" s="505" t="s">
        <v>223</v>
      </c>
      <c r="G18" s="244" t="s">
        <v>166</v>
      </c>
      <c r="H18" s="469" t="s">
        <v>31</v>
      </c>
      <c r="I18" s="468" t="s">
        <v>815</v>
      </c>
      <c r="J18" s="469">
        <v>136</v>
      </c>
      <c r="K18" s="469">
        <v>3</v>
      </c>
      <c r="L18" s="231">
        <f>M18*2</f>
        <v>196</v>
      </c>
      <c r="M18" s="466">
        <v>98</v>
      </c>
      <c r="N18" s="469">
        <v>1</v>
      </c>
      <c r="O18" s="466">
        <f t="shared" ref="O18:O29" si="0">J18+M18</f>
        <v>234</v>
      </c>
      <c r="P18" s="469">
        <v>20</v>
      </c>
      <c r="Q18" s="469" t="str">
        <f>IF(O18&gt;=$S$11,"МСМК",IF(O18&gt;=$R$11,"МС",IF(O18&gt;=$Q$11,"КМС","-")))</f>
        <v>МСМК</v>
      </c>
      <c r="R18" s="945" t="s">
        <v>380</v>
      </c>
      <c r="S18" s="802"/>
    </row>
    <row r="19" spans="1:19" s="24" customFormat="1" ht="14.25" customHeight="1" x14ac:dyDescent="0.25">
      <c r="A19" s="948">
        <v>2</v>
      </c>
      <c r="B19" s="489" t="s">
        <v>90</v>
      </c>
      <c r="C19" s="478"/>
      <c r="D19" s="479"/>
      <c r="E19" s="480">
        <v>1987</v>
      </c>
      <c r="F19" s="505" t="s">
        <v>10</v>
      </c>
      <c r="G19" s="469" t="s">
        <v>32</v>
      </c>
      <c r="H19" s="469" t="s">
        <v>31</v>
      </c>
      <c r="I19" s="468" t="s">
        <v>813</v>
      </c>
      <c r="J19" s="469">
        <v>150</v>
      </c>
      <c r="K19" s="469">
        <v>1</v>
      </c>
      <c r="L19" s="469">
        <v>167</v>
      </c>
      <c r="M19" s="466">
        <f>L19/2</f>
        <v>83.5</v>
      </c>
      <c r="N19" s="469">
        <v>6</v>
      </c>
      <c r="O19" s="466">
        <f t="shared" si="0"/>
        <v>233.5</v>
      </c>
      <c r="P19" s="469">
        <v>18</v>
      </c>
      <c r="Q19" s="469" t="str">
        <f>IF(O19&gt;=$S$11,"МСМК",IF(O19&gt;=$R$11,"МС",IF(O19&gt;=$Q$11,"КМС","-")))</f>
        <v>МСМК</v>
      </c>
      <c r="R19" s="462" t="s">
        <v>777</v>
      </c>
      <c r="S19" s="802"/>
    </row>
    <row r="20" spans="1:19" s="24" customFormat="1" ht="17.25" customHeight="1" x14ac:dyDescent="0.25">
      <c r="A20" s="948">
        <v>3</v>
      </c>
      <c r="B20" s="489" t="s">
        <v>782</v>
      </c>
      <c r="C20" s="478"/>
      <c r="D20" s="479"/>
      <c r="E20" s="480">
        <v>1999</v>
      </c>
      <c r="F20" s="505" t="s">
        <v>9</v>
      </c>
      <c r="G20" s="228" t="s">
        <v>35</v>
      </c>
      <c r="H20" s="469"/>
      <c r="I20" s="468" t="s">
        <v>830</v>
      </c>
      <c r="J20" s="469">
        <v>140</v>
      </c>
      <c r="K20" s="469">
        <v>2</v>
      </c>
      <c r="L20" s="572">
        <v>168</v>
      </c>
      <c r="M20" s="466">
        <f>L20/2</f>
        <v>84</v>
      </c>
      <c r="N20" s="572">
        <v>5</v>
      </c>
      <c r="O20" s="466">
        <f t="shared" si="0"/>
        <v>224</v>
      </c>
      <c r="P20" s="469">
        <v>16</v>
      </c>
      <c r="Q20" s="929" t="s">
        <v>877</v>
      </c>
      <c r="R20" s="462" t="s">
        <v>631</v>
      </c>
      <c r="S20" s="802"/>
    </row>
    <row r="21" spans="1:19" s="24" customFormat="1" ht="15.75" customHeight="1" x14ac:dyDescent="0.25">
      <c r="A21" s="948">
        <v>4</v>
      </c>
      <c r="B21" s="390" t="s">
        <v>62</v>
      </c>
      <c r="C21" s="308"/>
      <c r="D21" s="309"/>
      <c r="E21" s="507">
        <v>1987</v>
      </c>
      <c r="F21" s="467" t="s">
        <v>10</v>
      </c>
      <c r="G21" s="466" t="s">
        <v>32</v>
      </c>
      <c r="H21" s="466" t="s">
        <v>31</v>
      </c>
      <c r="I21" s="465" t="s">
        <v>816</v>
      </c>
      <c r="J21" s="466">
        <v>119</v>
      </c>
      <c r="K21" s="630">
        <v>7</v>
      </c>
      <c r="L21" s="880">
        <f>M21*2</f>
        <v>189</v>
      </c>
      <c r="M21" s="466">
        <v>94.5</v>
      </c>
      <c r="N21" s="887">
        <v>2</v>
      </c>
      <c r="O21" s="466">
        <f t="shared" si="0"/>
        <v>213.5</v>
      </c>
      <c r="P21" s="889">
        <v>15</v>
      </c>
      <c r="Q21" s="469" t="str">
        <f t="shared" ref="Q21:Q26" si="1">IF(O21&gt;=$S$11,"МСМК",IF(O21&gt;=$R$11,"МС",IF(O21&gt;=$Q$11,"КМС","-")))</f>
        <v>МС</v>
      </c>
      <c r="R21" s="796" t="s">
        <v>780</v>
      </c>
      <c r="S21" s="812"/>
    </row>
    <row r="22" spans="1:19" s="24" customFormat="1" ht="15" x14ac:dyDescent="0.25">
      <c r="A22" s="948">
        <v>5</v>
      </c>
      <c r="B22" s="388" t="s">
        <v>779</v>
      </c>
      <c r="C22" s="242"/>
      <c r="D22" s="243"/>
      <c r="E22" s="263">
        <v>1976</v>
      </c>
      <c r="F22" s="244" t="s">
        <v>10</v>
      </c>
      <c r="G22" s="245" t="s">
        <v>565</v>
      </c>
      <c r="H22" s="245" t="s">
        <v>31</v>
      </c>
      <c r="I22" s="91" t="s">
        <v>814</v>
      </c>
      <c r="J22" s="245">
        <v>132</v>
      </c>
      <c r="K22" s="884">
        <v>5</v>
      </c>
      <c r="L22" s="886">
        <f>M22*2</f>
        <v>161</v>
      </c>
      <c r="M22" s="466">
        <v>80.5</v>
      </c>
      <c r="N22" s="888">
        <v>8</v>
      </c>
      <c r="O22" s="466">
        <f t="shared" si="0"/>
        <v>212.5</v>
      </c>
      <c r="P22" s="245">
        <v>14</v>
      </c>
      <c r="Q22" s="469" t="str">
        <f t="shared" si="1"/>
        <v>МС</v>
      </c>
      <c r="R22" s="241" t="s">
        <v>566</v>
      </c>
      <c r="S22" s="246"/>
    </row>
    <row r="23" spans="1:19" s="24" customFormat="1" ht="15.75" customHeight="1" x14ac:dyDescent="0.25">
      <c r="A23" s="948">
        <v>6</v>
      </c>
      <c r="B23" s="487" t="s">
        <v>373</v>
      </c>
      <c r="C23" s="499"/>
      <c r="D23" s="500"/>
      <c r="E23" s="496">
        <v>1992</v>
      </c>
      <c r="F23" s="496" t="s">
        <v>9</v>
      </c>
      <c r="G23" s="471" t="s">
        <v>493</v>
      </c>
      <c r="H23" s="496"/>
      <c r="I23" s="470" t="s">
        <v>817</v>
      </c>
      <c r="J23" s="471">
        <v>118</v>
      </c>
      <c r="K23" s="762">
        <v>8</v>
      </c>
      <c r="L23" s="245">
        <f>M23*2</f>
        <v>179</v>
      </c>
      <c r="M23" s="466">
        <v>89.5</v>
      </c>
      <c r="N23" s="471">
        <v>3</v>
      </c>
      <c r="O23" s="466">
        <f t="shared" si="0"/>
        <v>207.5</v>
      </c>
      <c r="P23" s="546">
        <v>13</v>
      </c>
      <c r="Q23" s="469" t="str">
        <f t="shared" si="1"/>
        <v>МС</v>
      </c>
      <c r="R23" s="796" t="s">
        <v>781</v>
      </c>
      <c r="S23" s="803"/>
    </row>
    <row r="24" spans="1:19" s="24" customFormat="1" ht="15.75" customHeight="1" x14ac:dyDescent="0.25">
      <c r="A24" s="948">
        <v>7</v>
      </c>
      <c r="B24" s="801" t="s">
        <v>775</v>
      </c>
      <c r="C24" s="804"/>
      <c r="D24" s="805"/>
      <c r="E24" s="497">
        <v>1998</v>
      </c>
      <c r="F24" s="473" t="s">
        <v>9</v>
      </c>
      <c r="G24" s="539" t="s">
        <v>218</v>
      </c>
      <c r="H24" s="473"/>
      <c r="I24" s="538" t="s">
        <v>819</v>
      </c>
      <c r="J24" s="539">
        <v>135</v>
      </c>
      <c r="K24" s="473">
        <v>4</v>
      </c>
      <c r="L24" s="473">
        <v>132</v>
      </c>
      <c r="M24" s="466">
        <f>L24/2</f>
        <v>66</v>
      </c>
      <c r="N24" s="473">
        <v>9</v>
      </c>
      <c r="O24" s="466">
        <f t="shared" si="0"/>
        <v>201</v>
      </c>
      <c r="P24" s="473">
        <v>12</v>
      </c>
      <c r="Q24" s="469" t="str">
        <f t="shared" si="1"/>
        <v>МС</v>
      </c>
      <c r="R24" s="946" t="s">
        <v>776</v>
      </c>
      <c r="S24" s="806"/>
    </row>
    <row r="25" spans="1:19" s="24" customFormat="1" ht="15.75" customHeight="1" x14ac:dyDescent="0.25">
      <c r="A25" s="948">
        <v>8</v>
      </c>
      <c r="B25" s="388" t="s">
        <v>375</v>
      </c>
      <c r="C25" s="242"/>
      <c r="D25" s="243"/>
      <c r="E25" s="263">
        <v>1987</v>
      </c>
      <c r="F25" s="244" t="s">
        <v>9</v>
      </c>
      <c r="G25" s="474" t="s">
        <v>32</v>
      </c>
      <c r="H25" s="511" t="s">
        <v>31</v>
      </c>
      <c r="I25" s="91" t="s">
        <v>820</v>
      </c>
      <c r="J25" s="245">
        <v>125</v>
      </c>
      <c r="K25" s="245">
        <v>6</v>
      </c>
      <c r="L25" s="245">
        <v>128</v>
      </c>
      <c r="M25" s="466">
        <f>L25/2</f>
        <v>64</v>
      </c>
      <c r="N25" s="245">
        <v>10</v>
      </c>
      <c r="O25" s="466">
        <f t="shared" si="0"/>
        <v>189</v>
      </c>
      <c r="P25" s="245">
        <v>11</v>
      </c>
      <c r="Q25" s="469" t="str">
        <f t="shared" si="1"/>
        <v>МС</v>
      </c>
      <c r="R25" s="947" t="s">
        <v>735</v>
      </c>
      <c r="S25" s="246"/>
    </row>
    <row r="26" spans="1:19" s="24" customFormat="1" ht="15.75" customHeight="1" x14ac:dyDescent="0.25">
      <c r="A26" s="948">
        <v>9</v>
      </c>
      <c r="B26" s="387" t="s">
        <v>374</v>
      </c>
      <c r="C26" s="225"/>
      <c r="D26" s="226"/>
      <c r="E26" s="227">
        <v>1994</v>
      </c>
      <c r="F26" s="228" t="s">
        <v>9</v>
      </c>
      <c r="G26" s="231" t="s">
        <v>765</v>
      </c>
      <c r="H26" s="231"/>
      <c r="I26" s="230" t="s">
        <v>817</v>
      </c>
      <c r="J26" s="231">
        <v>91</v>
      </c>
      <c r="K26" s="663">
        <v>10</v>
      </c>
      <c r="L26" s="245">
        <f>M26*2</f>
        <v>175</v>
      </c>
      <c r="M26" s="466">
        <v>87.5</v>
      </c>
      <c r="N26" s="882">
        <v>4</v>
      </c>
      <c r="O26" s="466">
        <f t="shared" si="0"/>
        <v>178.5</v>
      </c>
      <c r="P26" s="883">
        <v>10</v>
      </c>
      <c r="Q26" s="469" t="str">
        <f t="shared" si="1"/>
        <v>МС</v>
      </c>
      <c r="R26" s="224" t="s">
        <v>230</v>
      </c>
      <c r="S26" s="233"/>
    </row>
    <row r="27" spans="1:19" s="24" customFormat="1" ht="15.75" customHeight="1" x14ac:dyDescent="0.25">
      <c r="A27" s="948">
        <v>10</v>
      </c>
      <c r="B27" s="487" t="s">
        <v>774</v>
      </c>
      <c r="C27" s="499"/>
      <c r="D27" s="500"/>
      <c r="E27" s="496">
        <v>2000</v>
      </c>
      <c r="F27" s="496" t="s">
        <v>8</v>
      </c>
      <c r="G27" s="471" t="s">
        <v>35</v>
      </c>
      <c r="H27" s="496"/>
      <c r="I27" s="470" t="s">
        <v>818</v>
      </c>
      <c r="J27" s="471">
        <v>114</v>
      </c>
      <c r="K27" s="762">
        <v>9</v>
      </c>
      <c r="L27" s="471">
        <v>120</v>
      </c>
      <c r="M27" s="466">
        <f>L27/2</f>
        <v>60</v>
      </c>
      <c r="N27" s="767">
        <v>11</v>
      </c>
      <c r="O27" s="466">
        <f t="shared" si="0"/>
        <v>174</v>
      </c>
      <c r="P27" s="471">
        <v>9</v>
      </c>
      <c r="Q27" s="929" t="s">
        <v>718</v>
      </c>
      <c r="R27" s="878" t="s">
        <v>390</v>
      </c>
      <c r="S27" s="803"/>
    </row>
    <row r="28" spans="1:19" s="24" customFormat="1" ht="15.75" customHeight="1" x14ac:dyDescent="0.25">
      <c r="A28" s="948">
        <v>11</v>
      </c>
      <c r="B28" s="487" t="s">
        <v>643</v>
      </c>
      <c r="C28" s="499"/>
      <c r="D28" s="500"/>
      <c r="E28" s="511">
        <v>1993</v>
      </c>
      <c r="F28" s="511" t="s">
        <v>9</v>
      </c>
      <c r="G28" s="244" t="s">
        <v>27</v>
      </c>
      <c r="H28" s="496"/>
      <c r="I28" s="470" t="s">
        <v>821</v>
      </c>
      <c r="J28" s="471">
        <v>86</v>
      </c>
      <c r="K28" s="762">
        <v>11</v>
      </c>
      <c r="L28" s="471">
        <v>163</v>
      </c>
      <c r="M28" s="466">
        <f>L28/2</f>
        <v>81.5</v>
      </c>
      <c r="N28" s="471">
        <v>7</v>
      </c>
      <c r="O28" s="466">
        <f t="shared" si="0"/>
        <v>167.5</v>
      </c>
      <c r="P28" s="546">
        <v>8</v>
      </c>
      <c r="Q28" s="469" t="str">
        <f>IF(O28&gt;=$S$11,"МСМК",IF(O28&gt;=$R$11,"МС",IF(O28&gt;=$Q$11,"КМС","-")))</f>
        <v>МС</v>
      </c>
      <c r="R28" s="388" t="s">
        <v>501</v>
      </c>
      <c r="S28" s="803"/>
    </row>
    <row r="29" spans="1:19" s="24" customFormat="1" ht="15" customHeight="1" x14ac:dyDescent="0.25">
      <c r="A29" s="948">
        <v>12</v>
      </c>
      <c r="B29" s="909" t="s">
        <v>778</v>
      </c>
      <c r="C29" s="522"/>
      <c r="D29" s="523"/>
      <c r="E29" s="480">
        <v>1993</v>
      </c>
      <c r="F29" s="469" t="s">
        <v>8</v>
      </c>
      <c r="G29" s="469" t="s">
        <v>35</v>
      </c>
      <c r="H29" s="469" t="s">
        <v>37</v>
      </c>
      <c r="I29" s="468" t="s">
        <v>822</v>
      </c>
      <c r="J29" s="469">
        <v>82</v>
      </c>
      <c r="K29" s="469">
        <v>12</v>
      </c>
      <c r="L29" s="469">
        <v>103</v>
      </c>
      <c r="M29" s="466">
        <f>L29/2</f>
        <v>51.5</v>
      </c>
      <c r="N29" s="469">
        <v>12</v>
      </c>
      <c r="O29" s="466">
        <f t="shared" si="0"/>
        <v>133.5</v>
      </c>
      <c r="P29" s="469">
        <v>7</v>
      </c>
      <c r="Q29" s="469" t="str">
        <f>IF(O29&gt;=$S$11,"МСМК",IF(O29&gt;=$R$11,"МС",IF(O29&gt;=$Q$11,"КМС","-")))</f>
        <v>КМС</v>
      </c>
      <c r="R29" s="462" t="s">
        <v>210</v>
      </c>
      <c r="S29" s="810"/>
    </row>
    <row r="30" spans="1:19" x14ac:dyDescent="0.2">
      <c r="A30" s="17"/>
      <c r="B30" s="21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ht="13.5" x14ac:dyDescent="0.25">
      <c r="A31" s="214" t="s">
        <v>534</v>
      </c>
      <c r="B31" s="210"/>
      <c r="C31" s="210"/>
      <c r="D31" s="210"/>
      <c r="E31" s="210"/>
      <c r="F31" s="210"/>
      <c r="G31" s="210"/>
      <c r="H31" s="214" t="s">
        <v>40</v>
      </c>
      <c r="J31" s="17"/>
      <c r="K31" s="841"/>
      <c r="L31" s="841"/>
      <c r="M31" s="841"/>
      <c r="N31" s="841"/>
      <c r="O31" s="841"/>
      <c r="P31" s="841"/>
      <c r="Q31" s="475" t="s">
        <v>536</v>
      </c>
      <c r="S31" s="841"/>
    </row>
    <row r="32" spans="1:19" ht="13.5" x14ac:dyDescent="0.25">
      <c r="A32" s="214"/>
      <c r="B32" s="383"/>
      <c r="C32" s="841"/>
      <c r="D32" s="17"/>
      <c r="E32" s="17"/>
      <c r="F32" s="17"/>
      <c r="G32" s="17"/>
      <c r="H32" s="214"/>
      <c r="J32" s="17"/>
      <c r="K32" s="841"/>
      <c r="L32" s="841"/>
      <c r="M32" s="841"/>
      <c r="N32" s="841"/>
      <c r="O32" s="841"/>
      <c r="P32" s="841"/>
      <c r="Q32" s="476"/>
      <c r="R32" s="17"/>
      <c r="S32" s="17"/>
    </row>
    <row r="33" spans="1:19" ht="13.5" x14ac:dyDescent="0.25">
      <c r="A33" s="214" t="s">
        <v>535</v>
      </c>
      <c r="B33" s="210"/>
      <c r="C33" s="210"/>
      <c r="D33" s="210"/>
      <c r="E33" s="210"/>
      <c r="F33" s="210"/>
      <c r="G33" s="210"/>
      <c r="H33" s="214" t="s">
        <v>41</v>
      </c>
      <c r="J33" s="210"/>
      <c r="Q33" s="477" t="s">
        <v>537</v>
      </c>
      <c r="R33" s="841"/>
      <c r="S33" s="841"/>
    </row>
  </sheetData>
  <autoFilter ref="A16:S17">
    <filterColumn colId="1" showButton="0"/>
    <filterColumn colId="2" showButton="0"/>
    <filterColumn colId="11" showButton="0"/>
    <filterColumn colId="17" showButton="0"/>
    <sortState ref="A19:S29">
      <sortCondition descending="1" ref="O16:O17"/>
    </sortState>
  </autoFilter>
  <mergeCells count="30">
    <mergeCell ref="B1:S1"/>
    <mergeCell ref="B2:S2"/>
    <mergeCell ref="B3:S3"/>
    <mergeCell ref="B4:S4"/>
    <mergeCell ref="A7:B7"/>
    <mergeCell ref="Q7:S7"/>
    <mergeCell ref="A8:B8"/>
    <mergeCell ref="C8:O8"/>
    <mergeCell ref="Q8:S8"/>
    <mergeCell ref="A9:B9"/>
    <mergeCell ref="C9:O9"/>
    <mergeCell ref="Q9:S9"/>
    <mergeCell ref="C10:O10"/>
    <mergeCell ref="C11:O11"/>
    <mergeCell ref="C12:O12"/>
    <mergeCell ref="A16:A17"/>
    <mergeCell ref="B16:D17"/>
    <mergeCell ref="E16:E17"/>
    <mergeCell ref="F16:F17"/>
    <mergeCell ref="G16:G17"/>
    <mergeCell ref="H16:H17"/>
    <mergeCell ref="I16:I17"/>
    <mergeCell ref="Q16:Q17"/>
    <mergeCell ref="R16:S17"/>
    <mergeCell ref="J16:J17"/>
    <mergeCell ref="K16:K17"/>
    <mergeCell ref="L16:M16"/>
    <mergeCell ref="N16:N17"/>
    <mergeCell ref="O16:O17"/>
    <mergeCell ref="P16:P1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colBreaks count="1" manualBreakCount="1">
    <brk id="19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"/>
  <sheetViews>
    <sheetView topLeftCell="A8" zoomScaleSheetLayoutView="100" workbookViewId="0">
      <selection activeCell="C13" sqref="C13"/>
    </sheetView>
  </sheetViews>
  <sheetFormatPr defaultRowHeight="12.75" x14ac:dyDescent="0.2"/>
  <cols>
    <col min="1" max="1" width="7.42578125" customWidth="1"/>
    <col min="2" max="2" width="24.42578125" style="167" customWidth="1"/>
    <col min="3" max="3" width="4" customWidth="1"/>
    <col min="4" max="4" width="0.85546875" hidden="1" customWidth="1"/>
    <col min="7" max="7" width="24.140625" customWidth="1"/>
    <col min="8" max="8" width="9.7109375" customWidth="1"/>
    <col min="11" max="15" width="7.7109375" customWidth="1"/>
    <col min="16" max="16" width="6.7109375" customWidth="1"/>
    <col min="17" max="17" width="9.42578125" customWidth="1"/>
    <col min="18" max="18" width="13.140625" customWidth="1"/>
    <col min="19" max="19" width="7.7109375" customWidth="1"/>
  </cols>
  <sheetData>
    <row r="1" spans="1:19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</row>
    <row r="2" spans="1:19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</row>
    <row r="3" spans="1:19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</row>
    <row r="4" spans="1:19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</row>
    <row r="5" spans="1:19" ht="28.15" customHeight="1" x14ac:dyDescent="0.2">
      <c r="A5" s="186"/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M5" s="836"/>
      <c r="N5" s="836"/>
      <c r="O5" s="836"/>
      <c r="P5" s="836"/>
      <c r="Q5" s="836"/>
      <c r="R5" s="836"/>
      <c r="S5" s="836"/>
    </row>
    <row r="6" spans="1:19" ht="28.15" customHeight="1" x14ac:dyDescent="0.2">
      <c r="A6" s="186"/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M6" s="836"/>
      <c r="N6" s="836"/>
      <c r="O6" s="836"/>
      <c r="P6" s="836"/>
      <c r="Q6" s="836"/>
      <c r="R6" s="836"/>
      <c r="S6" s="836"/>
    </row>
    <row r="7" spans="1:19" ht="13.5" x14ac:dyDescent="0.25">
      <c r="A7" s="970" t="s">
        <v>681</v>
      </c>
      <c r="B7" s="970"/>
      <c r="C7" s="84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70" t="s">
        <v>2</v>
      </c>
      <c r="R7" s="970"/>
      <c r="S7" s="970"/>
    </row>
    <row r="8" spans="1:19" ht="15.75" x14ac:dyDescent="0.25">
      <c r="A8" s="984" t="s">
        <v>530</v>
      </c>
      <c r="B8" s="984"/>
      <c r="C8" s="983" t="s">
        <v>3</v>
      </c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835"/>
      <c r="Q8" s="970" t="s">
        <v>4</v>
      </c>
      <c r="R8" s="970"/>
      <c r="S8" s="970"/>
    </row>
    <row r="9" spans="1:19" ht="16.149999999999999" customHeight="1" x14ac:dyDescent="0.25">
      <c r="A9" s="974" t="s">
        <v>5</v>
      </c>
      <c r="B9" s="974"/>
      <c r="C9" s="1022" t="s">
        <v>539</v>
      </c>
      <c r="D9" s="1022"/>
      <c r="E9" s="1022"/>
      <c r="F9" s="1022"/>
      <c r="G9" s="1022"/>
      <c r="H9" s="1022"/>
      <c r="I9" s="1022"/>
      <c r="J9" s="1022"/>
      <c r="K9" s="1022"/>
      <c r="L9" s="1022"/>
      <c r="M9" s="1022"/>
      <c r="N9" s="1022"/>
      <c r="O9" s="1022"/>
      <c r="P9" s="839"/>
      <c r="Q9" s="974" t="s">
        <v>7</v>
      </c>
      <c r="R9" s="974"/>
      <c r="S9" s="974"/>
    </row>
    <row r="10" spans="1:19" ht="15.75" x14ac:dyDescent="0.25">
      <c r="A10" s="159" t="s">
        <v>22</v>
      </c>
      <c r="B10" s="834" t="s">
        <v>541</v>
      </c>
      <c r="C10" s="983" t="s">
        <v>533</v>
      </c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835"/>
      <c r="Q10" s="834" t="s">
        <v>8</v>
      </c>
      <c r="R10" s="834" t="s">
        <v>9</v>
      </c>
      <c r="S10" s="834" t="s">
        <v>10</v>
      </c>
    </row>
    <row r="11" spans="1:19" ht="15.75" x14ac:dyDescent="0.25">
      <c r="A11" s="511">
        <v>162</v>
      </c>
      <c r="B11" s="511" t="s">
        <v>551</v>
      </c>
      <c r="C11" s="983" t="s">
        <v>540</v>
      </c>
      <c r="D11" s="983"/>
      <c r="E11" s="983"/>
      <c r="F11" s="983"/>
      <c r="G11" s="983"/>
      <c r="H11" s="983"/>
      <c r="I11" s="983"/>
      <c r="J11" s="983"/>
      <c r="K11" s="983"/>
      <c r="L11" s="983"/>
      <c r="M11" s="983"/>
      <c r="N11" s="983"/>
      <c r="O11" s="983"/>
      <c r="P11" s="835"/>
      <c r="Q11" s="4">
        <v>120</v>
      </c>
      <c r="R11" s="4">
        <v>155</v>
      </c>
      <c r="S11" s="4">
        <v>223</v>
      </c>
    </row>
    <row r="12" spans="1:19" ht="16.5" thickBot="1" x14ac:dyDescent="0.3">
      <c r="A12" s="5"/>
      <c r="B12" s="384"/>
      <c r="C12" s="983" t="s">
        <v>394</v>
      </c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983"/>
      <c r="O12" s="983"/>
      <c r="P12" s="835"/>
      <c r="Q12" s="6"/>
      <c r="R12" s="6"/>
      <c r="S12" s="6"/>
    </row>
    <row r="13" spans="1:19" ht="15.75" x14ac:dyDescent="0.2">
      <c r="A13" s="385" t="s">
        <v>13</v>
      </c>
      <c r="B13" s="8"/>
      <c r="C13" s="10">
        <v>44</v>
      </c>
      <c r="F13" s="836"/>
      <c r="G13" s="836"/>
      <c r="H13" s="836"/>
      <c r="I13" s="836"/>
      <c r="J13" s="836"/>
      <c r="K13" s="836"/>
      <c r="L13" s="836"/>
      <c r="M13" s="836"/>
      <c r="N13" s="836"/>
      <c r="O13" s="836"/>
      <c r="P13" s="836"/>
      <c r="Q13" s="12"/>
      <c r="R13" s="12"/>
      <c r="S13" s="12"/>
    </row>
    <row r="14" spans="1:19" ht="13.5" thickBot="1" x14ac:dyDescent="0.25">
      <c r="A14" s="386" t="s">
        <v>14</v>
      </c>
      <c r="B14" s="14"/>
      <c r="C14" s="16">
        <v>270</v>
      </c>
      <c r="F14" s="836"/>
      <c r="G14" s="836"/>
      <c r="H14" s="836"/>
      <c r="I14" s="836"/>
      <c r="J14" s="836"/>
      <c r="K14" s="836"/>
      <c r="L14" s="836"/>
      <c r="M14" s="836"/>
      <c r="N14" s="836"/>
      <c r="O14" s="836"/>
      <c r="P14" s="836"/>
      <c r="Q14" s="6"/>
      <c r="R14" s="6"/>
      <c r="S14" s="6"/>
    </row>
    <row r="15" spans="1:19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15</v>
      </c>
      <c r="L16" s="1060" t="s">
        <v>46</v>
      </c>
      <c r="M16" s="1061"/>
      <c r="N16" s="973" t="s">
        <v>15</v>
      </c>
      <c r="O16" s="973" t="s">
        <v>547</v>
      </c>
      <c r="P16" s="973" t="s">
        <v>548</v>
      </c>
      <c r="Q16" s="972" t="s">
        <v>24</v>
      </c>
      <c r="R16" s="972" t="s">
        <v>25</v>
      </c>
      <c r="S16" s="972"/>
    </row>
    <row r="17" spans="1:19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833" t="s">
        <v>84</v>
      </c>
      <c r="M17" s="833" t="s">
        <v>85</v>
      </c>
      <c r="N17" s="1062"/>
      <c r="O17" s="1062"/>
      <c r="P17" s="1062"/>
      <c r="Q17" s="973"/>
      <c r="R17" s="973"/>
      <c r="S17" s="973"/>
    </row>
    <row r="18" spans="1:19" s="24" customFormat="1" ht="15" customHeight="1" x14ac:dyDescent="0.25">
      <c r="A18" s="948">
        <v>1</v>
      </c>
      <c r="B18" s="390" t="s">
        <v>510</v>
      </c>
      <c r="C18" s="308"/>
      <c r="D18" s="309"/>
      <c r="E18" s="507">
        <v>1978</v>
      </c>
      <c r="F18" s="467" t="s">
        <v>10</v>
      </c>
      <c r="G18" s="466" t="s">
        <v>489</v>
      </c>
      <c r="H18" s="466"/>
      <c r="I18" s="465" t="s">
        <v>826</v>
      </c>
      <c r="J18" s="466">
        <v>151</v>
      </c>
      <c r="K18" s="466">
        <v>1</v>
      </c>
      <c r="L18" s="469">
        <f>M18*2</f>
        <v>173</v>
      </c>
      <c r="M18" s="466">
        <v>86.5</v>
      </c>
      <c r="N18" s="466">
        <v>4</v>
      </c>
      <c r="O18" s="466">
        <f t="shared" ref="O18:O27" si="0">J18+M18</f>
        <v>237.5</v>
      </c>
      <c r="P18" s="466">
        <v>20</v>
      </c>
      <c r="Q18" s="469" t="str">
        <f>IF(O18&gt;=$S$11,"МСМК",IF(O18&gt;=$R$11,"МС",IF(O18&gt;=$Q$11,"КМС","-")))</f>
        <v>МСМК</v>
      </c>
      <c r="R18" s="387" t="s">
        <v>29</v>
      </c>
      <c r="S18" s="812"/>
    </row>
    <row r="19" spans="1:19" s="24" customFormat="1" ht="15" customHeight="1" x14ac:dyDescent="0.25">
      <c r="A19" s="948">
        <v>2</v>
      </c>
      <c r="B19" s="387" t="s">
        <v>784</v>
      </c>
      <c r="C19" s="225"/>
      <c r="D19" s="226"/>
      <c r="E19" s="227">
        <v>1992</v>
      </c>
      <c r="F19" s="228" t="s">
        <v>10</v>
      </c>
      <c r="G19" s="231" t="s">
        <v>615</v>
      </c>
      <c r="H19" s="231" t="s">
        <v>31</v>
      </c>
      <c r="I19" s="230" t="s">
        <v>832</v>
      </c>
      <c r="J19" s="231">
        <v>147</v>
      </c>
      <c r="K19" s="231">
        <v>2</v>
      </c>
      <c r="L19" s="469">
        <f>M19*2</f>
        <v>176</v>
      </c>
      <c r="M19" s="466">
        <v>88</v>
      </c>
      <c r="N19" s="231">
        <v>3</v>
      </c>
      <c r="O19" s="466">
        <f t="shared" si="0"/>
        <v>235</v>
      </c>
      <c r="P19" s="231">
        <v>18</v>
      </c>
      <c r="Q19" s="469" t="str">
        <f>IF(O19&gt;=$S$11,"МСМК",IF(O19&gt;=$R$11,"МС",IF(O19&gt;=$Q$11,"КМС","-")))</f>
        <v>МСМК</v>
      </c>
      <c r="R19" s="224" t="s">
        <v>785</v>
      </c>
      <c r="S19" s="233"/>
    </row>
    <row r="20" spans="1:19" s="24" customFormat="1" ht="17.25" customHeight="1" x14ac:dyDescent="0.25">
      <c r="A20" s="948">
        <v>3</v>
      </c>
      <c r="B20" s="908" t="s">
        <v>794</v>
      </c>
      <c r="C20" s="493"/>
      <c r="D20" s="811"/>
      <c r="E20" s="362">
        <v>1995</v>
      </c>
      <c r="F20" s="362" t="s">
        <v>10</v>
      </c>
      <c r="G20" s="466" t="s">
        <v>33</v>
      </c>
      <c r="H20" s="362" t="s">
        <v>31</v>
      </c>
      <c r="I20" s="465" t="s">
        <v>833</v>
      </c>
      <c r="J20" s="466">
        <v>126</v>
      </c>
      <c r="K20" s="466">
        <v>5</v>
      </c>
      <c r="L20" s="572">
        <f>M20*2</f>
        <v>190</v>
      </c>
      <c r="M20" s="466">
        <v>95</v>
      </c>
      <c r="N20" s="588">
        <v>1</v>
      </c>
      <c r="O20" s="466">
        <f t="shared" si="0"/>
        <v>221</v>
      </c>
      <c r="P20" s="466">
        <v>16</v>
      </c>
      <c r="Q20" s="469" t="str">
        <f>IF(O20&gt;=$S$11,"МСМК",IF(O20&gt;=$R$11,"МС",IF(O20&gt;=$Q$11,"КМС","-")))</f>
        <v>МС</v>
      </c>
      <c r="R20" s="892" t="s">
        <v>795</v>
      </c>
      <c r="S20" s="812"/>
    </row>
    <row r="21" spans="1:19" s="24" customFormat="1" ht="24.75" customHeight="1" x14ac:dyDescent="0.2">
      <c r="A21" s="630">
        <v>4</v>
      </c>
      <c r="B21" s="908" t="s">
        <v>789</v>
      </c>
      <c r="C21" s="276"/>
      <c r="D21" s="277"/>
      <c r="E21" s="227">
        <v>1976</v>
      </c>
      <c r="F21" s="231" t="s">
        <v>10</v>
      </c>
      <c r="G21" s="231" t="s">
        <v>125</v>
      </c>
      <c r="H21" s="285" t="s">
        <v>790</v>
      </c>
      <c r="I21" s="230" t="s">
        <v>834</v>
      </c>
      <c r="J21" s="231">
        <v>130</v>
      </c>
      <c r="K21" s="663">
        <v>4</v>
      </c>
      <c r="L21" s="953">
        <f>M21*2</f>
        <v>178</v>
      </c>
      <c r="M21" s="466">
        <v>89</v>
      </c>
      <c r="N21" s="882">
        <v>2</v>
      </c>
      <c r="O21" s="466">
        <f t="shared" si="0"/>
        <v>219</v>
      </c>
      <c r="P21" s="883">
        <v>15</v>
      </c>
      <c r="Q21" s="469" t="str">
        <f>IF(O21&gt;=$S$11,"МСМК",IF(O21&gt;=$R$11,"МС",IF(O21&gt;=$Q$11,"КМС","-")))</f>
        <v>МС</v>
      </c>
      <c r="R21" s="1071" t="s">
        <v>791</v>
      </c>
      <c r="S21" s="1072"/>
    </row>
    <row r="22" spans="1:19" s="24" customFormat="1" ht="15" customHeight="1" x14ac:dyDescent="0.25">
      <c r="A22" s="948">
        <v>5</v>
      </c>
      <c r="B22" s="534" t="s">
        <v>788</v>
      </c>
      <c r="C22" s="718"/>
      <c r="D22" s="813"/>
      <c r="E22" s="535">
        <v>1995</v>
      </c>
      <c r="F22" s="509" t="s">
        <v>9</v>
      </c>
      <c r="G22" s="244" t="s">
        <v>218</v>
      </c>
      <c r="H22" s="473"/>
      <c r="I22" s="473" t="s">
        <v>835</v>
      </c>
      <c r="J22" s="763">
        <v>132</v>
      </c>
      <c r="K22" s="763">
        <v>3</v>
      </c>
      <c r="L22" s="473">
        <f>M22*2</f>
        <v>156</v>
      </c>
      <c r="M22" s="528">
        <v>78</v>
      </c>
      <c r="N22" s="881">
        <v>6</v>
      </c>
      <c r="O22" s="466">
        <f t="shared" si="0"/>
        <v>210</v>
      </c>
      <c r="P22" s="473">
        <v>14</v>
      </c>
      <c r="Q22" s="469" t="str">
        <f>IF(O22&gt;=$S$11,"МСМК",IF(O22&gt;=$R$11,"МС",IF(O22&gt;=$Q$11,"КМС","-")))</f>
        <v>МС</v>
      </c>
      <c r="R22" s="464" t="s">
        <v>366</v>
      </c>
      <c r="S22" s="564"/>
    </row>
    <row r="23" spans="1:19" s="24" customFormat="1" ht="15" customHeight="1" x14ac:dyDescent="0.25">
      <c r="A23" s="948">
        <v>6</v>
      </c>
      <c r="B23" s="801" t="s">
        <v>786</v>
      </c>
      <c r="C23" s="804"/>
      <c r="D23" s="805"/>
      <c r="E23" s="535">
        <v>1994</v>
      </c>
      <c r="F23" s="473" t="s">
        <v>8</v>
      </c>
      <c r="G23" s="473" t="s">
        <v>739</v>
      </c>
      <c r="H23" s="473" t="s">
        <v>31</v>
      </c>
      <c r="I23" s="473" t="s">
        <v>824</v>
      </c>
      <c r="J23" s="473">
        <v>110</v>
      </c>
      <c r="K23" s="763">
        <v>6</v>
      </c>
      <c r="L23" s="473">
        <v>151</v>
      </c>
      <c r="M23" s="466">
        <f>L23/2</f>
        <v>75.5</v>
      </c>
      <c r="N23" s="473">
        <v>7</v>
      </c>
      <c r="O23" s="466">
        <f t="shared" si="0"/>
        <v>185.5</v>
      </c>
      <c r="P23" s="536">
        <v>13</v>
      </c>
      <c r="Q23" s="929" t="s">
        <v>718</v>
      </c>
      <c r="R23" s="944" t="s">
        <v>787</v>
      </c>
      <c r="S23" s="806"/>
    </row>
    <row r="24" spans="1:19" s="24" customFormat="1" ht="15" customHeight="1" x14ac:dyDescent="0.25">
      <c r="A24" s="948">
        <v>7</v>
      </c>
      <c r="B24" s="534" t="s">
        <v>783</v>
      </c>
      <c r="C24" s="718"/>
      <c r="D24" s="813"/>
      <c r="E24" s="497">
        <v>1986</v>
      </c>
      <c r="F24" s="509" t="s">
        <v>9</v>
      </c>
      <c r="G24" s="539" t="s">
        <v>35</v>
      </c>
      <c r="H24" s="473"/>
      <c r="I24" s="538" t="s">
        <v>831</v>
      </c>
      <c r="J24" s="473">
        <v>95</v>
      </c>
      <c r="K24" s="473">
        <v>9</v>
      </c>
      <c r="L24" s="473">
        <f>M24*2</f>
        <v>156</v>
      </c>
      <c r="M24" s="466">
        <v>78</v>
      </c>
      <c r="N24" s="473">
        <v>5</v>
      </c>
      <c r="O24" s="466">
        <f t="shared" si="0"/>
        <v>173</v>
      </c>
      <c r="P24" s="473">
        <v>12</v>
      </c>
      <c r="Q24" s="469" t="str">
        <f>IF(O24&gt;=$S$11,"МСМК",IF(O24&gt;=$R$11,"МС",IF(O24&gt;=$Q$11,"КМС","-")))</f>
        <v>МС</v>
      </c>
      <c r="R24" s="464" t="s">
        <v>725</v>
      </c>
      <c r="S24" s="564"/>
    </row>
    <row r="25" spans="1:19" s="24" customFormat="1" ht="15" x14ac:dyDescent="0.25">
      <c r="A25" s="948">
        <v>8</v>
      </c>
      <c r="B25" s="487" t="s">
        <v>399</v>
      </c>
      <c r="C25" s="499"/>
      <c r="D25" s="500"/>
      <c r="E25" s="496">
        <v>1994</v>
      </c>
      <c r="F25" s="496" t="s">
        <v>8</v>
      </c>
      <c r="G25" s="633" t="s">
        <v>739</v>
      </c>
      <c r="H25" s="496" t="s">
        <v>31</v>
      </c>
      <c r="I25" s="470" t="s">
        <v>823</v>
      </c>
      <c r="J25" s="471">
        <v>97</v>
      </c>
      <c r="K25" s="471">
        <v>8</v>
      </c>
      <c r="L25" s="471">
        <v>82</v>
      </c>
      <c r="M25" s="466">
        <f>L25/2</f>
        <v>41</v>
      </c>
      <c r="N25" s="471">
        <v>8</v>
      </c>
      <c r="O25" s="466">
        <f t="shared" si="0"/>
        <v>138</v>
      </c>
      <c r="P25" s="471">
        <v>11</v>
      </c>
      <c r="Q25" s="469" t="str">
        <f>IF(O25&gt;=$S$11,"МСМК",IF(O25&gt;=$R$11,"МС",IF(O25&gt;=$Q$11,"КМС","-")))</f>
        <v>КМС</v>
      </c>
      <c r="R25" s="388" t="s">
        <v>400</v>
      </c>
      <c r="S25" s="803"/>
    </row>
    <row r="26" spans="1:19" s="24" customFormat="1" ht="15" x14ac:dyDescent="0.25">
      <c r="A26" s="948">
        <v>9</v>
      </c>
      <c r="B26" s="534" t="s">
        <v>796</v>
      </c>
      <c r="C26" s="718"/>
      <c r="D26" s="813"/>
      <c r="E26" s="535">
        <v>1999</v>
      </c>
      <c r="F26" s="509" t="s">
        <v>8</v>
      </c>
      <c r="G26" s="244" t="s">
        <v>33</v>
      </c>
      <c r="H26" s="473" t="s">
        <v>31</v>
      </c>
      <c r="I26" s="472" t="s">
        <v>825</v>
      </c>
      <c r="J26" s="473">
        <v>104</v>
      </c>
      <c r="K26" s="763">
        <v>7</v>
      </c>
      <c r="L26" s="473">
        <v>56</v>
      </c>
      <c r="M26" s="466">
        <f>L26/2</f>
        <v>28</v>
      </c>
      <c r="N26" s="881">
        <v>10</v>
      </c>
      <c r="O26" s="466">
        <f t="shared" si="0"/>
        <v>132</v>
      </c>
      <c r="P26" s="473">
        <v>10</v>
      </c>
      <c r="Q26" s="469" t="str">
        <f>IF(O26&gt;=$S$11,"МСМК",IF(O26&gt;=$R$11,"МС",IF(O26&gt;=$Q$11,"КМС","-")))</f>
        <v>КМС</v>
      </c>
      <c r="R26" s="943" t="s">
        <v>761</v>
      </c>
      <c r="S26" s="564"/>
    </row>
    <row r="27" spans="1:19" s="24" customFormat="1" ht="15" x14ac:dyDescent="0.25">
      <c r="A27" s="948">
        <v>10</v>
      </c>
      <c r="B27" s="487" t="s">
        <v>792</v>
      </c>
      <c r="C27" s="499"/>
      <c r="D27" s="500"/>
      <c r="E27" s="511">
        <v>2000</v>
      </c>
      <c r="F27" s="511" t="s">
        <v>8</v>
      </c>
      <c r="G27" s="244" t="s">
        <v>519</v>
      </c>
      <c r="H27" s="496" t="s">
        <v>37</v>
      </c>
      <c r="I27" s="470" t="s">
        <v>827</v>
      </c>
      <c r="J27" s="471">
        <v>86</v>
      </c>
      <c r="K27" s="762">
        <v>10</v>
      </c>
      <c r="L27" s="471">
        <v>78</v>
      </c>
      <c r="M27" s="466">
        <f>L27/2</f>
        <v>39</v>
      </c>
      <c r="N27" s="471">
        <v>9</v>
      </c>
      <c r="O27" s="466">
        <f t="shared" si="0"/>
        <v>125</v>
      </c>
      <c r="P27" s="546">
        <v>9</v>
      </c>
      <c r="Q27" s="469" t="str">
        <f>IF(O27&gt;=$S$11,"МСМК",IF(O27&gt;=$R$11,"МС",IF(O27&gt;=$Q$11,"КМС","-")))</f>
        <v>КМС</v>
      </c>
      <c r="R27" s="878" t="s">
        <v>793</v>
      </c>
      <c r="S27" s="803"/>
    </row>
    <row r="28" spans="1:19" x14ac:dyDescent="0.2">
      <c r="A28" s="17"/>
      <c r="B28" s="2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ht="13.5" x14ac:dyDescent="0.25">
      <c r="A29" s="214" t="s">
        <v>534</v>
      </c>
      <c r="B29" s="210"/>
      <c r="C29" s="210"/>
      <c r="D29" s="210"/>
      <c r="E29" s="210"/>
      <c r="F29" s="210"/>
      <c r="G29" s="210"/>
      <c r="H29" s="214" t="s">
        <v>40</v>
      </c>
      <c r="J29" s="17"/>
      <c r="K29" s="841"/>
      <c r="L29" s="841"/>
      <c r="M29" s="841"/>
      <c r="N29" s="841"/>
      <c r="O29" s="841"/>
      <c r="P29" s="841"/>
      <c r="Q29" s="475" t="s">
        <v>536</v>
      </c>
      <c r="S29" s="841"/>
    </row>
    <row r="30" spans="1:19" ht="13.5" x14ac:dyDescent="0.25">
      <c r="A30" s="214"/>
      <c r="B30" s="383"/>
      <c r="C30" s="841"/>
      <c r="D30" s="17"/>
      <c r="E30" s="17"/>
      <c r="F30" s="17"/>
      <c r="G30" s="17"/>
      <c r="H30" s="214"/>
      <c r="J30" s="17"/>
      <c r="K30" s="841"/>
      <c r="L30" s="841"/>
      <c r="M30" s="841"/>
      <c r="N30" s="841"/>
      <c r="O30" s="841"/>
      <c r="P30" s="841"/>
      <c r="Q30" s="476"/>
      <c r="R30" s="17"/>
      <c r="S30" s="17"/>
    </row>
    <row r="31" spans="1:19" ht="13.5" x14ac:dyDescent="0.25">
      <c r="A31" s="214" t="s">
        <v>535</v>
      </c>
      <c r="B31" s="210"/>
      <c r="C31" s="210"/>
      <c r="D31" s="210"/>
      <c r="E31" s="210"/>
      <c r="F31" s="210"/>
      <c r="G31" s="210"/>
      <c r="H31" s="214" t="s">
        <v>41</v>
      </c>
      <c r="J31" s="210"/>
      <c r="Q31" s="477" t="s">
        <v>537</v>
      </c>
      <c r="R31" s="841"/>
      <c r="S31" s="841"/>
    </row>
  </sheetData>
  <autoFilter ref="A16:S17">
    <filterColumn colId="1" showButton="0"/>
    <filterColumn colId="2" showButton="0"/>
    <filterColumn colId="11" showButton="0"/>
    <filterColumn colId="17" showButton="0"/>
    <sortState ref="A19:S27">
      <sortCondition descending="1" ref="O16:O17"/>
    </sortState>
  </autoFilter>
  <mergeCells count="31">
    <mergeCell ref="B1:S1"/>
    <mergeCell ref="B2:S2"/>
    <mergeCell ref="B3:S3"/>
    <mergeCell ref="B4:S4"/>
    <mergeCell ref="A7:B7"/>
    <mergeCell ref="Q7:S7"/>
    <mergeCell ref="A8:B8"/>
    <mergeCell ref="C8:O8"/>
    <mergeCell ref="Q8:S8"/>
    <mergeCell ref="A9:B9"/>
    <mergeCell ref="C9:O9"/>
    <mergeCell ref="Q9:S9"/>
    <mergeCell ref="C10:O10"/>
    <mergeCell ref="C11:O11"/>
    <mergeCell ref="C12:O12"/>
    <mergeCell ref="A16:A17"/>
    <mergeCell ref="B16:D17"/>
    <mergeCell ref="E16:E17"/>
    <mergeCell ref="F16:F17"/>
    <mergeCell ref="G16:G17"/>
    <mergeCell ref="H16:H17"/>
    <mergeCell ref="I16:I17"/>
    <mergeCell ref="R21:S21"/>
    <mergeCell ref="Q16:Q17"/>
    <mergeCell ref="R16:S17"/>
    <mergeCell ref="J16:J17"/>
    <mergeCell ref="K16:K17"/>
    <mergeCell ref="L16:M16"/>
    <mergeCell ref="N16:N17"/>
    <mergeCell ref="O16:O17"/>
    <mergeCell ref="P16:P1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colBreaks count="1" manualBreakCount="1">
    <brk id="19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topLeftCell="A13" zoomScaleSheetLayoutView="100" workbookViewId="0">
      <selection activeCell="J34" sqref="J34"/>
    </sheetView>
  </sheetViews>
  <sheetFormatPr defaultRowHeight="12.75" x14ac:dyDescent="0.2"/>
  <cols>
    <col min="1" max="1" width="7.42578125" customWidth="1"/>
    <col min="2" max="2" width="24.42578125" style="167" customWidth="1"/>
    <col min="3" max="3" width="4" customWidth="1"/>
    <col min="4" max="4" width="0.85546875" hidden="1" customWidth="1"/>
    <col min="7" max="7" width="24.140625" customWidth="1"/>
    <col min="8" max="8" width="9.7109375" customWidth="1"/>
    <col min="11" max="15" width="7.7109375" customWidth="1"/>
    <col min="16" max="16" width="6.7109375" customWidth="1"/>
    <col min="17" max="17" width="9.42578125" customWidth="1"/>
    <col min="18" max="18" width="13.140625" customWidth="1"/>
    <col min="19" max="19" width="7.7109375" customWidth="1"/>
  </cols>
  <sheetData>
    <row r="1" spans="1:19" ht="25.9" customHeight="1" x14ac:dyDescent="0.2">
      <c r="A1" s="186"/>
      <c r="B1" s="969" t="s">
        <v>0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</row>
    <row r="2" spans="1:19" ht="20.45" customHeight="1" x14ac:dyDescent="0.2">
      <c r="A2" s="186"/>
      <c r="B2" s="969" t="s">
        <v>1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</row>
    <row r="3" spans="1:19" ht="20.45" customHeight="1" x14ac:dyDescent="0.2">
      <c r="A3" s="186"/>
      <c r="B3" s="969" t="s">
        <v>531</v>
      </c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</row>
    <row r="4" spans="1:19" ht="25.9" customHeight="1" x14ac:dyDescent="0.2">
      <c r="A4" s="186"/>
      <c r="B4" s="969" t="s">
        <v>532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</row>
    <row r="5" spans="1:19" ht="28.15" customHeight="1" x14ac:dyDescent="0.2">
      <c r="A5" s="186"/>
      <c r="B5" s="757"/>
      <c r="C5" s="757"/>
      <c r="D5" s="757"/>
      <c r="E5" s="757"/>
      <c r="F5" s="757"/>
      <c r="G5" s="757"/>
      <c r="H5" s="757"/>
      <c r="I5" s="757"/>
      <c r="J5" s="757"/>
      <c r="K5" s="757"/>
      <c r="L5" s="757"/>
      <c r="M5" s="757"/>
      <c r="N5" s="757"/>
      <c r="O5" s="757"/>
      <c r="P5" s="757"/>
      <c r="Q5" s="757"/>
      <c r="R5" s="757"/>
      <c r="S5" s="757"/>
    </row>
    <row r="6" spans="1:19" ht="28.15" customHeight="1" x14ac:dyDescent="0.2">
      <c r="A6" s="186"/>
      <c r="B6" s="757"/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  <c r="O6" s="757"/>
      <c r="P6" s="757"/>
      <c r="Q6" s="757"/>
      <c r="R6" s="757"/>
      <c r="S6" s="757"/>
    </row>
    <row r="7" spans="1:19" ht="13.5" x14ac:dyDescent="0.25">
      <c r="A7" s="970" t="s">
        <v>681</v>
      </c>
      <c r="B7" s="970"/>
      <c r="C7" s="76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70" t="s">
        <v>2</v>
      </c>
      <c r="R7" s="970"/>
      <c r="S7" s="970"/>
    </row>
    <row r="8" spans="1:19" ht="15.75" x14ac:dyDescent="0.25">
      <c r="A8" s="984" t="s">
        <v>530</v>
      </c>
      <c r="B8" s="984"/>
      <c r="C8" s="983" t="s">
        <v>3</v>
      </c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756"/>
      <c r="Q8" s="970" t="s">
        <v>4</v>
      </c>
      <c r="R8" s="970"/>
      <c r="S8" s="970"/>
    </row>
    <row r="9" spans="1:19" ht="16.149999999999999" customHeight="1" x14ac:dyDescent="0.25">
      <c r="A9" s="974" t="s">
        <v>5</v>
      </c>
      <c r="B9" s="974"/>
      <c r="C9" s="1022" t="s">
        <v>539</v>
      </c>
      <c r="D9" s="1022"/>
      <c r="E9" s="1022"/>
      <c r="F9" s="1022"/>
      <c r="G9" s="1022"/>
      <c r="H9" s="1022"/>
      <c r="I9" s="1022"/>
      <c r="J9" s="1022"/>
      <c r="K9" s="1022"/>
      <c r="L9" s="1022"/>
      <c r="M9" s="1022"/>
      <c r="N9" s="1022"/>
      <c r="O9" s="1022"/>
      <c r="P9" s="768"/>
      <c r="Q9" s="974" t="s">
        <v>7</v>
      </c>
      <c r="R9" s="974"/>
      <c r="S9" s="974"/>
    </row>
    <row r="10" spans="1:19" ht="15.75" x14ac:dyDescent="0.25">
      <c r="A10" s="159" t="s">
        <v>22</v>
      </c>
      <c r="B10" s="758" t="s">
        <v>541</v>
      </c>
      <c r="C10" s="983" t="s">
        <v>533</v>
      </c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756"/>
      <c r="Q10" s="758" t="s">
        <v>8</v>
      </c>
      <c r="R10" s="758" t="s">
        <v>9</v>
      </c>
      <c r="S10" s="758" t="s">
        <v>10</v>
      </c>
    </row>
    <row r="11" spans="1:19" ht="16.5" thickBot="1" x14ac:dyDescent="0.3">
      <c r="A11" s="511">
        <v>165</v>
      </c>
      <c r="B11" s="511" t="s">
        <v>552</v>
      </c>
      <c r="C11" s="983" t="s">
        <v>540</v>
      </c>
      <c r="D11" s="983"/>
      <c r="E11" s="983"/>
      <c r="F11" s="983"/>
      <c r="G11" s="983"/>
      <c r="H11" s="983"/>
      <c r="I11" s="983"/>
      <c r="J11" s="983"/>
      <c r="K11" s="983"/>
      <c r="L11" s="983"/>
      <c r="M11" s="983"/>
      <c r="N11" s="983"/>
      <c r="O11" s="983"/>
      <c r="P11" s="756"/>
      <c r="Q11" s="320">
        <v>126</v>
      </c>
      <c r="R11" s="320">
        <v>160</v>
      </c>
      <c r="S11" s="320">
        <v>230</v>
      </c>
    </row>
    <row r="12" spans="1:19" ht="16.5" thickBot="1" x14ac:dyDescent="0.3">
      <c r="A12" s="5"/>
      <c r="B12" s="384"/>
      <c r="C12" s="983" t="s">
        <v>553</v>
      </c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983"/>
      <c r="O12" s="983"/>
      <c r="P12" s="756"/>
      <c r="Q12" s="6"/>
      <c r="R12" s="6"/>
      <c r="S12" s="6"/>
    </row>
    <row r="13" spans="1:19" ht="15.75" x14ac:dyDescent="0.2">
      <c r="A13" s="385" t="s">
        <v>13</v>
      </c>
      <c r="B13" s="8"/>
      <c r="C13" s="10">
        <v>44</v>
      </c>
      <c r="F13" s="757"/>
      <c r="G13" s="757"/>
      <c r="H13" s="757"/>
      <c r="I13" s="757"/>
      <c r="J13" s="757"/>
      <c r="K13" s="757"/>
      <c r="L13" s="757"/>
      <c r="M13" s="757"/>
      <c r="N13" s="757"/>
      <c r="O13" s="757"/>
      <c r="P13" s="757"/>
      <c r="Q13" s="12"/>
      <c r="R13" s="12"/>
      <c r="S13" s="12"/>
    </row>
    <row r="14" spans="1:19" ht="13.5" thickBot="1" x14ac:dyDescent="0.25">
      <c r="A14" s="386" t="s">
        <v>14</v>
      </c>
      <c r="B14" s="14"/>
      <c r="C14" s="16">
        <v>270</v>
      </c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7"/>
      <c r="Q14" s="6"/>
      <c r="R14" s="6"/>
      <c r="S14" s="6"/>
    </row>
    <row r="15" spans="1:19" x14ac:dyDescent="0.2">
      <c r="A15" s="17"/>
      <c r="B15" s="2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">
      <c r="A16" s="972" t="s">
        <v>15</v>
      </c>
      <c r="B16" s="972" t="s">
        <v>16</v>
      </c>
      <c r="C16" s="972"/>
      <c r="D16" s="972"/>
      <c r="E16" s="972" t="s">
        <v>17</v>
      </c>
      <c r="F16" s="972" t="s">
        <v>18</v>
      </c>
      <c r="G16" s="972" t="s">
        <v>19</v>
      </c>
      <c r="H16" s="973" t="s">
        <v>20</v>
      </c>
      <c r="I16" s="972" t="s">
        <v>21</v>
      </c>
      <c r="J16" s="972" t="s">
        <v>22</v>
      </c>
      <c r="K16" s="972" t="s">
        <v>15</v>
      </c>
      <c r="L16" s="1060" t="s">
        <v>46</v>
      </c>
      <c r="M16" s="1061"/>
      <c r="N16" s="973" t="s">
        <v>15</v>
      </c>
      <c r="O16" s="973" t="s">
        <v>547</v>
      </c>
      <c r="P16" s="973" t="s">
        <v>548</v>
      </c>
      <c r="Q16" s="972" t="s">
        <v>24</v>
      </c>
      <c r="R16" s="972" t="s">
        <v>25</v>
      </c>
      <c r="S16" s="972"/>
    </row>
    <row r="17" spans="1:19" x14ac:dyDescent="0.2">
      <c r="A17" s="972"/>
      <c r="B17" s="973"/>
      <c r="C17" s="973"/>
      <c r="D17" s="973"/>
      <c r="E17" s="973"/>
      <c r="F17" s="973"/>
      <c r="G17" s="973"/>
      <c r="H17" s="979"/>
      <c r="I17" s="973"/>
      <c r="J17" s="973"/>
      <c r="K17" s="973"/>
      <c r="L17" s="754" t="s">
        <v>84</v>
      </c>
      <c r="M17" s="754" t="s">
        <v>85</v>
      </c>
      <c r="N17" s="1062"/>
      <c r="O17" s="1062"/>
      <c r="P17" s="1062"/>
      <c r="Q17" s="973"/>
      <c r="R17" s="973"/>
      <c r="S17" s="973"/>
    </row>
    <row r="18" spans="1:19" s="24" customFormat="1" ht="24" customHeight="1" x14ac:dyDescent="0.2">
      <c r="A18" s="630">
        <v>1</v>
      </c>
      <c r="B18" s="503" t="s">
        <v>797</v>
      </c>
      <c r="C18" s="492"/>
      <c r="D18" s="542"/>
      <c r="E18" s="507">
        <v>1995</v>
      </c>
      <c r="F18" s="466" t="s">
        <v>10</v>
      </c>
      <c r="G18" s="466" t="s">
        <v>565</v>
      </c>
      <c r="H18" s="466" t="s">
        <v>31</v>
      </c>
      <c r="I18" s="465" t="s">
        <v>838</v>
      </c>
      <c r="J18" s="466">
        <v>143</v>
      </c>
      <c r="K18" s="466">
        <v>1</v>
      </c>
      <c r="L18" s="466">
        <f>M18*2</f>
        <v>184</v>
      </c>
      <c r="M18" s="469">
        <v>92</v>
      </c>
      <c r="N18" s="466">
        <v>3</v>
      </c>
      <c r="O18" s="469">
        <f t="shared" ref="O18:O25" si="0">J18+M18</f>
        <v>235</v>
      </c>
      <c r="P18" s="466">
        <v>20</v>
      </c>
      <c r="Q18" s="469" t="str">
        <f>IF(O18&gt;=$S$11,"МСМК",IF(O18&gt;=$R$11,"МС",IF(O18&gt;=$Q$11,"КМС","-")))</f>
        <v>МСМК</v>
      </c>
      <c r="R18" s="1073" t="s">
        <v>842</v>
      </c>
      <c r="S18" s="1074"/>
    </row>
    <row r="19" spans="1:19" s="24" customFormat="1" ht="15" customHeight="1" x14ac:dyDescent="0.25">
      <c r="A19" s="948">
        <v>2</v>
      </c>
      <c r="B19" s="387" t="s">
        <v>798</v>
      </c>
      <c r="C19" s="225"/>
      <c r="D19" s="226"/>
      <c r="E19" s="227">
        <v>1979</v>
      </c>
      <c r="F19" s="228" t="s">
        <v>10</v>
      </c>
      <c r="G19" s="231" t="s">
        <v>292</v>
      </c>
      <c r="H19" s="231"/>
      <c r="I19" s="230" t="s">
        <v>812</v>
      </c>
      <c r="J19" s="231">
        <v>127</v>
      </c>
      <c r="K19" s="231">
        <v>5</v>
      </c>
      <c r="L19" s="466">
        <f>M19*2</f>
        <v>200</v>
      </c>
      <c r="M19" s="469">
        <v>100</v>
      </c>
      <c r="N19" s="231">
        <v>1</v>
      </c>
      <c r="O19" s="469">
        <f t="shared" si="0"/>
        <v>227</v>
      </c>
      <c r="P19" s="231">
        <v>18</v>
      </c>
      <c r="Q19" s="469" t="str">
        <f>IF(O19&gt;=$S$11,"МСМК",IF(O19&gt;=$R$11,"МС",IF(O19&gt;=$Q$11,"КМС","-")))</f>
        <v>МС</v>
      </c>
      <c r="R19" s="224" t="s">
        <v>801</v>
      </c>
      <c r="S19" s="233"/>
    </row>
    <row r="20" spans="1:19" s="24" customFormat="1" ht="15" customHeight="1" x14ac:dyDescent="0.25">
      <c r="A20" s="948">
        <v>3</v>
      </c>
      <c r="B20" s="909" t="s">
        <v>799</v>
      </c>
      <c r="C20" s="522"/>
      <c r="D20" s="523"/>
      <c r="E20" s="480">
        <v>2001</v>
      </c>
      <c r="F20" s="469" t="s">
        <v>8</v>
      </c>
      <c r="G20" s="469" t="s">
        <v>492</v>
      </c>
      <c r="H20" s="469"/>
      <c r="I20" s="468" t="s">
        <v>839</v>
      </c>
      <c r="J20" s="469">
        <v>132</v>
      </c>
      <c r="K20" s="469">
        <v>3</v>
      </c>
      <c r="L20" s="466">
        <f>M20*2</f>
        <v>185</v>
      </c>
      <c r="M20" s="469">
        <v>92.5</v>
      </c>
      <c r="N20" s="469">
        <v>2</v>
      </c>
      <c r="O20" s="469">
        <f t="shared" si="0"/>
        <v>224.5</v>
      </c>
      <c r="P20" s="469">
        <v>16</v>
      </c>
      <c r="Q20" s="929" t="s">
        <v>718</v>
      </c>
      <c r="R20" s="463" t="s">
        <v>217</v>
      </c>
      <c r="S20" s="810"/>
    </row>
    <row r="21" spans="1:19" s="24" customFormat="1" ht="17.25" customHeight="1" x14ac:dyDescent="0.25">
      <c r="A21" s="948">
        <v>4</v>
      </c>
      <c r="B21" s="390" t="s">
        <v>675</v>
      </c>
      <c r="C21" s="308"/>
      <c r="D21" s="309"/>
      <c r="E21" s="507">
        <v>1990</v>
      </c>
      <c r="F21" s="467" t="s">
        <v>10</v>
      </c>
      <c r="G21" s="466" t="s">
        <v>33</v>
      </c>
      <c r="H21" s="466" t="s">
        <v>31</v>
      </c>
      <c r="I21" s="466" t="s">
        <v>836</v>
      </c>
      <c r="J21" s="466">
        <v>126</v>
      </c>
      <c r="K21" s="466">
        <v>6</v>
      </c>
      <c r="L21" s="466">
        <f>M21*2</f>
        <v>182</v>
      </c>
      <c r="M21" s="469">
        <v>91</v>
      </c>
      <c r="N21" s="588">
        <v>4</v>
      </c>
      <c r="O21" s="469">
        <f t="shared" si="0"/>
        <v>217</v>
      </c>
      <c r="P21" s="466">
        <v>15</v>
      </c>
      <c r="Q21" s="469" t="str">
        <f>IF(O21&gt;=$S$11,"МСМК",IF(O21&gt;=$R$11,"МС",IF(O21&gt;=$Q$11,"КМС","-")))</f>
        <v>МС</v>
      </c>
      <c r="R21" s="387" t="s">
        <v>34</v>
      </c>
      <c r="S21" s="812"/>
    </row>
    <row r="22" spans="1:19" s="24" customFormat="1" ht="15.75" customHeight="1" x14ac:dyDescent="0.25">
      <c r="A22" s="948">
        <v>5</v>
      </c>
      <c r="B22" s="489" t="s">
        <v>386</v>
      </c>
      <c r="C22" s="478"/>
      <c r="D22" s="479"/>
      <c r="E22" s="480">
        <v>1994</v>
      </c>
      <c r="F22" s="505" t="s">
        <v>10</v>
      </c>
      <c r="G22" s="469" t="s">
        <v>33</v>
      </c>
      <c r="H22" s="469" t="s">
        <v>31</v>
      </c>
      <c r="I22" s="469" t="s">
        <v>829</v>
      </c>
      <c r="J22" s="469">
        <v>129</v>
      </c>
      <c r="K22" s="590">
        <v>4</v>
      </c>
      <c r="L22" s="469">
        <v>168</v>
      </c>
      <c r="M22" s="469">
        <f>L22/2</f>
        <v>84</v>
      </c>
      <c r="N22" s="766">
        <v>5</v>
      </c>
      <c r="O22" s="469">
        <f t="shared" si="0"/>
        <v>213</v>
      </c>
      <c r="P22" s="769">
        <v>14</v>
      </c>
      <c r="Q22" s="469" t="str">
        <f>IF(O22&gt;=$S$11,"МСМК",IF(O22&gt;=$R$11,"МС",IF(O22&gt;=$Q$11,"КМС","-")))</f>
        <v>МС</v>
      </c>
      <c r="R22" s="891" t="s">
        <v>682</v>
      </c>
      <c r="S22" s="802"/>
    </row>
    <row r="23" spans="1:19" s="24" customFormat="1" ht="15" x14ac:dyDescent="0.25">
      <c r="A23" s="948">
        <v>6</v>
      </c>
      <c r="B23" s="487" t="s">
        <v>800</v>
      </c>
      <c r="C23" s="499"/>
      <c r="D23" s="500"/>
      <c r="E23" s="496">
        <v>1998</v>
      </c>
      <c r="F23" s="496" t="s">
        <v>9</v>
      </c>
      <c r="G23" s="471" t="s">
        <v>615</v>
      </c>
      <c r="H23" s="496" t="s">
        <v>802</v>
      </c>
      <c r="I23" s="470" t="s">
        <v>840</v>
      </c>
      <c r="J23" s="471">
        <v>133</v>
      </c>
      <c r="K23" s="762">
        <v>2</v>
      </c>
      <c r="L23" s="466">
        <f>M23*2</f>
        <v>146</v>
      </c>
      <c r="M23" s="469">
        <v>73</v>
      </c>
      <c r="N23" s="767">
        <v>7</v>
      </c>
      <c r="O23" s="469">
        <f t="shared" si="0"/>
        <v>206</v>
      </c>
      <c r="P23" s="471">
        <v>13</v>
      </c>
      <c r="Q23" s="469" t="str">
        <f>IF(O23&gt;=$S$11,"МСМК",IF(O23&gt;=$R$11,"МС",IF(O23&gt;=$Q$11,"КМС","-")))</f>
        <v>МС</v>
      </c>
      <c r="R23" s="878" t="s">
        <v>803</v>
      </c>
      <c r="S23" s="803"/>
    </row>
    <row r="24" spans="1:19" s="24" customFormat="1" ht="15" customHeight="1" x14ac:dyDescent="0.25">
      <c r="A24" s="948">
        <v>7</v>
      </c>
      <c r="B24" s="487" t="s">
        <v>804</v>
      </c>
      <c r="C24" s="499"/>
      <c r="D24" s="500"/>
      <c r="E24" s="511">
        <v>1984</v>
      </c>
      <c r="F24" s="511" t="s">
        <v>10</v>
      </c>
      <c r="G24" s="244" t="s">
        <v>805</v>
      </c>
      <c r="H24" s="496"/>
      <c r="I24" s="470" t="s">
        <v>837</v>
      </c>
      <c r="J24" s="471">
        <v>125</v>
      </c>
      <c r="K24" s="762">
        <v>7</v>
      </c>
      <c r="L24" s="466">
        <f>M24*2</f>
        <v>137</v>
      </c>
      <c r="M24" s="469">
        <v>68.5</v>
      </c>
      <c r="N24" s="471">
        <v>8</v>
      </c>
      <c r="O24" s="469">
        <f t="shared" si="0"/>
        <v>193.5</v>
      </c>
      <c r="P24" s="546">
        <v>12</v>
      </c>
      <c r="Q24" s="469" t="str">
        <f>IF(O24&gt;=$S$11,"МСМК",IF(O24&gt;=$R$11,"МС",IF(O24&gt;=$Q$11,"КМС","-")))</f>
        <v>МС</v>
      </c>
      <c r="R24" s="388" t="s">
        <v>806</v>
      </c>
      <c r="S24" s="803"/>
    </row>
    <row r="25" spans="1:19" s="24" customFormat="1" ht="15" x14ac:dyDescent="0.25">
      <c r="A25" s="948">
        <v>8</v>
      </c>
      <c r="B25" s="534" t="s">
        <v>243</v>
      </c>
      <c r="C25" s="718"/>
      <c r="D25" s="813"/>
      <c r="E25" s="497">
        <v>1995</v>
      </c>
      <c r="F25" s="509" t="s">
        <v>9</v>
      </c>
      <c r="G25" s="474" t="s">
        <v>35</v>
      </c>
      <c r="H25" s="473"/>
      <c r="I25" s="538" t="s">
        <v>828</v>
      </c>
      <c r="J25" s="539">
        <v>39</v>
      </c>
      <c r="K25" s="473">
        <v>8</v>
      </c>
      <c r="L25" s="469">
        <v>161</v>
      </c>
      <c r="M25" s="469">
        <f>L25/2</f>
        <v>80.5</v>
      </c>
      <c r="N25" s="473">
        <v>6</v>
      </c>
      <c r="O25" s="469">
        <f t="shared" si="0"/>
        <v>119.5</v>
      </c>
      <c r="P25" s="473">
        <v>11</v>
      </c>
      <c r="Q25" s="469" t="str">
        <f>IF(O25&gt;=$S$11,"МСМК",IF(O25&gt;=$R$11,"МС",IF(O25&gt;=$Q$11,"КМС","-")))</f>
        <v>-</v>
      </c>
      <c r="R25" s="944" t="s">
        <v>390</v>
      </c>
      <c r="S25" s="564"/>
    </row>
    <row r="26" spans="1:19" x14ac:dyDescent="0.2">
      <c r="A26" s="17"/>
      <c r="B26" s="21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ht="13.5" x14ac:dyDescent="0.25">
      <c r="A27" s="214" t="s">
        <v>534</v>
      </c>
      <c r="B27" s="210"/>
      <c r="C27" s="210"/>
      <c r="D27" s="210"/>
      <c r="E27" s="210"/>
      <c r="F27" s="210"/>
      <c r="G27" s="210"/>
      <c r="H27" s="214" t="s">
        <v>40</v>
      </c>
      <c r="J27" s="17"/>
      <c r="K27" s="761"/>
      <c r="L27" s="761"/>
      <c r="M27" s="761"/>
      <c r="N27" s="761"/>
      <c r="O27" s="761"/>
      <c r="P27" s="761"/>
      <c r="Q27" s="475" t="s">
        <v>536</v>
      </c>
      <c r="S27" s="761"/>
    </row>
    <row r="28" spans="1:19" ht="13.5" x14ac:dyDescent="0.25">
      <c r="A28" s="214"/>
      <c r="B28" s="383"/>
      <c r="C28" s="761"/>
      <c r="D28" s="17"/>
      <c r="E28" s="17"/>
      <c r="F28" s="17"/>
      <c r="G28" s="17"/>
      <c r="H28" s="214"/>
      <c r="J28" s="17"/>
      <c r="K28" s="761"/>
      <c r="L28" s="761"/>
      <c r="M28" s="761"/>
      <c r="N28" s="761"/>
      <c r="O28" s="761"/>
      <c r="P28" s="761"/>
      <c r="Q28" s="476"/>
      <c r="R28" s="17"/>
      <c r="S28" s="17"/>
    </row>
    <row r="29" spans="1:19" ht="13.5" x14ac:dyDescent="0.25">
      <c r="A29" s="214" t="s">
        <v>535</v>
      </c>
      <c r="B29" s="210"/>
      <c r="C29" s="210"/>
      <c r="D29" s="210"/>
      <c r="E29" s="210"/>
      <c r="F29" s="210"/>
      <c r="G29" s="210"/>
      <c r="H29" s="214" t="s">
        <v>41</v>
      </c>
      <c r="J29" s="210"/>
      <c r="Q29" s="477" t="s">
        <v>537</v>
      </c>
      <c r="R29" s="761"/>
      <c r="S29" s="761"/>
    </row>
  </sheetData>
  <autoFilter ref="A16:S17">
    <filterColumn colId="1" showButton="0"/>
    <filterColumn colId="2" showButton="0"/>
    <filterColumn colId="11" showButton="0"/>
    <filterColumn colId="17" showButton="0"/>
    <sortState ref="A19:S25">
      <sortCondition descending="1" ref="O16:O17"/>
    </sortState>
  </autoFilter>
  <mergeCells count="31">
    <mergeCell ref="B1:S1"/>
    <mergeCell ref="B2:S2"/>
    <mergeCell ref="B3:S3"/>
    <mergeCell ref="B4:S4"/>
    <mergeCell ref="A7:B7"/>
    <mergeCell ref="Q7:S7"/>
    <mergeCell ref="A8:B8"/>
    <mergeCell ref="C8:O8"/>
    <mergeCell ref="Q8:S8"/>
    <mergeCell ref="A9:B9"/>
    <mergeCell ref="C9:O9"/>
    <mergeCell ref="Q9:S9"/>
    <mergeCell ref="C10:O10"/>
    <mergeCell ref="C11:O11"/>
    <mergeCell ref="C12:O12"/>
    <mergeCell ref="A16:A17"/>
    <mergeCell ref="B16:D17"/>
    <mergeCell ref="E16:E17"/>
    <mergeCell ref="F16:F17"/>
    <mergeCell ref="G16:G17"/>
    <mergeCell ref="H16:H17"/>
    <mergeCell ref="I16:I17"/>
    <mergeCell ref="R18:S18"/>
    <mergeCell ref="Q16:Q17"/>
    <mergeCell ref="R16:S17"/>
    <mergeCell ref="J16:J17"/>
    <mergeCell ref="K16:K17"/>
    <mergeCell ref="L16:M16"/>
    <mergeCell ref="N16:N17"/>
    <mergeCell ref="O16:O17"/>
    <mergeCell ref="P16:P17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colBreaks count="1" manualBreakCount="1">
    <brk id="19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"/>
  <sheetViews>
    <sheetView topLeftCell="A37" zoomScale="85" zoomScaleNormal="85" zoomScaleSheetLayoutView="100" workbookViewId="0">
      <selection activeCell="K49" sqref="K49"/>
    </sheetView>
  </sheetViews>
  <sheetFormatPr defaultColWidth="9.140625" defaultRowHeight="15" x14ac:dyDescent="0.25"/>
  <cols>
    <col min="1" max="2" width="5.5703125" style="60" customWidth="1"/>
    <col min="3" max="3" width="12.28515625" style="60" customWidth="1"/>
    <col min="4" max="4" width="22" style="60" customWidth="1"/>
    <col min="5" max="5" width="8.140625" style="60" customWidth="1"/>
    <col min="6" max="6" width="9" style="60" customWidth="1"/>
    <col min="7" max="7" width="8.28515625" style="60" customWidth="1"/>
    <col min="8" max="8" width="9" style="60" customWidth="1"/>
    <col min="9" max="9" width="30.28515625" style="60" customWidth="1"/>
    <col min="10" max="10" width="25" style="60" customWidth="1"/>
    <col min="11" max="11" width="16.7109375" style="60" customWidth="1"/>
    <col min="12" max="16384" width="9.140625" style="60"/>
  </cols>
  <sheetData>
    <row r="1" spans="1:23" ht="18" customHeight="1" x14ac:dyDescent="0.25">
      <c r="B1" s="515"/>
      <c r="C1" s="515"/>
      <c r="D1" s="969" t="s">
        <v>0</v>
      </c>
      <c r="E1" s="969"/>
      <c r="F1" s="969"/>
      <c r="G1" s="969"/>
      <c r="H1" s="969"/>
      <c r="I1" s="515"/>
      <c r="J1" s="186"/>
      <c r="K1" s="58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ht="16.899999999999999" customHeight="1" x14ac:dyDescent="0.25">
      <c r="B2" s="515"/>
      <c r="C2" s="515"/>
      <c r="D2" s="969" t="s">
        <v>1</v>
      </c>
      <c r="E2" s="969"/>
      <c r="F2" s="969"/>
      <c r="G2" s="969"/>
      <c r="H2" s="969"/>
      <c r="I2" s="515"/>
      <c r="J2" s="186"/>
      <c r="K2" s="58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</row>
    <row r="3" spans="1:23" ht="36" customHeight="1" x14ac:dyDescent="0.25">
      <c r="B3" s="515"/>
      <c r="C3" s="515"/>
      <c r="D3" s="1025" t="s">
        <v>531</v>
      </c>
      <c r="E3" s="1025"/>
      <c r="F3" s="1025"/>
      <c r="G3" s="1025"/>
      <c r="H3" s="1025"/>
      <c r="I3" s="515"/>
      <c r="J3" s="186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</row>
    <row r="4" spans="1:23" ht="39" customHeight="1" x14ac:dyDescent="0.25">
      <c r="B4" s="515"/>
      <c r="C4" s="515"/>
      <c r="D4" s="1025" t="s">
        <v>532</v>
      </c>
      <c r="E4" s="1025"/>
      <c r="F4" s="1025"/>
      <c r="G4" s="1025"/>
      <c r="H4" s="1025"/>
      <c r="I4" s="515"/>
      <c r="J4" s="186"/>
      <c r="K4" s="61"/>
      <c r="L4" s="62"/>
      <c r="M4" s="62"/>
      <c r="N4" s="59"/>
      <c r="O4" s="59"/>
      <c r="P4" s="59"/>
      <c r="Q4" s="59"/>
      <c r="R4" s="59"/>
      <c r="S4" s="59"/>
      <c r="T4" s="59"/>
      <c r="U4" s="59"/>
      <c r="V4" s="59"/>
      <c r="W4" s="59"/>
    </row>
    <row r="5" spans="1:23" ht="13.9" customHeight="1" x14ac:dyDescent="0.25">
      <c r="B5" s="771"/>
      <c r="C5" s="771"/>
      <c r="D5" s="1023" t="s">
        <v>3</v>
      </c>
      <c r="E5" s="1023"/>
      <c r="F5" s="1023"/>
      <c r="G5" s="1023"/>
      <c r="H5" s="1023"/>
      <c r="I5" s="771"/>
      <c r="J5" s="187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</row>
    <row r="6" spans="1:23" ht="16.149999999999999" customHeight="1" x14ac:dyDescent="0.25">
      <c r="B6" s="441"/>
      <c r="C6" s="441"/>
      <c r="D6" s="1022" t="s">
        <v>539</v>
      </c>
      <c r="E6" s="1022"/>
      <c r="F6" s="1022"/>
      <c r="G6" s="1022"/>
      <c r="H6" s="1022"/>
      <c r="I6" s="776"/>
      <c r="J6" s="37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</row>
    <row r="7" spans="1:23" ht="17.45" customHeight="1" x14ac:dyDescent="0.25">
      <c r="B7" s="772"/>
      <c r="C7" s="772"/>
      <c r="D7" s="1024" t="s">
        <v>556</v>
      </c>
      <c r="E7" s="1024"/>
      <c r="F7" s="1024"/>
      <c r="G7" s="1024"/>
      <c r="H7" s="1024"/>
      <c r="I7" s="772"/>
      <c r="J7" s="187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</row>
    <row r="8" spans="1:23" ht="15.75" customHeight="1" x14ac:dyDescent="0.25">
      <c r="A8" s="970" t="s">
        <v>681</v>
      </c>
      <c r="B8" s="970"/>
      <c r="C8" s="970"/>
      <c r="D8" s="64"/>
      <c r="E8" s="63"/>
      <c r="F8" s="63"/>
      <c r="G8" s="63"/>
      <c r="H8" s="63"/>
      <c r="I8" s="63"/>
      <c r="J8" s="187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</row>
    <row r="9" spans="1:23" ht="19.5" customHeight="1" x14ac:dyDescent="0.25">
      <c r="A9" s="1081" t="s">
        <v>530</v>
      </c>
      <c r="B9" s="1081"/>
      <c r="C9" s="1081"/>
      <c r="D9" s="1067"/>
      <c r="E9" s="64"/>
      <c r="F9" s="64"/>
      <c r="G9" s="65"/>
      <c r="H9" s="66"/>
      <c r="I9" s="67"/>
      <c r="J9" s="188"/>
      <c r="K9" s="68"/>
      <c r="L9" s="68"/>
      <c r="M9" s="69"/>
      <c r="N9" s="70"/>
      <c r="O9" s="70"/>
      <c r="P9" s="59"/>
      <c r="Q9" s="59"/>
      <c r="R9" s="59"/>
      <c r="S9" s="59"/>
      <c r="T9" s="59"/>
      <c r="U9" s="59"/>
      <c r="V9" s="59"/>
      <c r="W9" s="59"/>
    </row>
    <row r="10" spans="1:23" ht="19.5" customHeight="1" thickBot="1" x14ac:dyDescent="0.3">
      <c r="A10" s="103" t="s">
        <v>64</v>
      </c>
      <c r="B10" s="103"/>
      <c r="C10" s="1082" t="s">
        <v>458</v>
      </c>
      <c r="D10" s="1083"/>
      <c r="E10" s="104"/>
      <c r="F10" s="104"/>
      <c r="G10" s="104"/>
      <c r="H10" s="104"/>
      <c r="I10" s="104"/>
    </row>
    <row r="11" spans="1:23" ht="21" customHeight="1" thickBot="1" x14ac:dyDescent="0.3">
      <c r="A11" s="75" t="s">
        <v>15</v>
      </c>
      <c r="B11" s="76" t="s">
        <v>53</v>
      </c>
      <c r="C11" s="77" t="s">
        <v>54</v>
      </c>
      <c r="D11" s="76" t="s">
        <v>55</v>
      </c>
      <c r="E11" s="77" t="s">
        <v>17</v>
      </c>
      <c r="F11" s="77" t="s">
        <v>56</v>
      </c>
      <c r="G11" s="77" t="s">
        <v>57</v>
      </c>
      <c r="H11" s="77" t="s">
        <v>58</v>
      </c>
      <c r="I11" s="78" t="s">
        <v>59</v>
      </c>
      <c r="J11" s="73"/>
    </row>
    <row r="12" spans="1:23" ht="15" customHeight="1" x14ac:dyDescent="0.25">
      <c r="A12" s="1075">
        <v>1</v>
      </c>
      <c r="B12" s="106">
        <v>1</v>
      </c>
      <c r="C12" s="107">
        <v>68</v>
      </c>
      <c r="D12" s="108" t="s">
        <v>70</v>
      </c>
      <c r="E12" s="507">
        <v>1992</v>
      </c>
      <c r="F12" s="465">
        <v>68</v>
      </c>
      <c r="G12" s="109">
        <v>50</v>
      </c>
      <c r="H12" s="110">
        <f>G12</f>
        <v>50</v>
      </c>
      <c r="I12" s="925" t="s">
        <v>390</v>
      </c>
      <c r="J12" s="73"/>
    </row>
    <row r="13" spans="1:23" ht="15" customHeight="1" x14ac:dyDescent="0.25">
      <c r="A13" s="1076"/>
      <c r="B13" s="112">
        <v>2</v>
      </c>
      <c r="C13" s="113">
        <v>78</v>
      </c>
      <c r="D13" s="114" t="s">
        <v>93</v>
      </c>
      <c r="E13" s="505">
        <v>1987</v>
      </c>
      <c r="F13" s="504">
        <v>77.7</v>
      </c>
      <c r="G13" s="112">
        <v>55</v>
      </c>
      <c r="H13" s="86">
        <f>H12+G13</f>
        <v>105</v>
      </c>
      <c r="I13" s="605" t="s">
        <v>767</v>
      </c>
      <c r="J13" s="73"/>
    </row>
    <row r="14" spans="1:23" ht="14.25" customHeight="1" x14ac:dyDescent="0.25">
      <c r="A14" s="1076"/>
      <c r="B14" s="112">
        <v>3</v>
      </c>
      <c r="C14" s="113">
        <v>85</v>
      </c>
      <c r="D14" s="191" t="s">
        <v>782</v>
      </c>
      <c r="E14" s="362">
        <v>1999</v>
      </c>
      <c r="F14" s="465">
        <v>81.2</v>
      </c>
      <c r="G14" s="192">
        <v>50</v>
      </c>
      <c r="H14" s="193">
        <f>H13+G14</f>
        <v>155</v>
      </c>
      <c r="I14" s="604" t="s">
        <v>631</v>
      </c>
      <c r="J14" s="73"/>
    </row>
    <row r="15" spans="1:23" ht="15" customHeight="1" x14ac:dyDescent="0.25">
      <c r="A15" s="1076"/>
      <c r="B15" s="112">
        <v>4</v>
      </c>
      <c r="C15" s="113">
        <v>95</v>
      </c>
      <c r="D15" s="194" t="s">
        <v>783</v>
      </c>
      <c r="E15" s="362">
        <v>1986</v>
      </c>
      <c r="F15" s="561">
        <v>93.7</v>
      </c>
      <c r="G15" s="115">
        <v>49</v>
      </c>
      <c r="H15" s="86">
        <f>H14+G15</f>
        <v>204</v>
      </c>
      <c r="I15" s="922" t="s">
        <v>725</v>
      </c>
      <c r="J15" s="73"/>
    </row>
    <row r="16" spans="1:23" ht="15" customHeight="1" thickBot="1" x14ac:dyDescent="0.3">
      <c r="A16" s="1077"/>
      <c r="B16" s="117">
        <v>5</v>
      </c>
      <c r="C16" s="118" t="s">
        <v>431</v>
      </c>
      <c r="D16" s="195" t="s">
        <v>683</v>
      </c>
      <c r="E16" s="119">
        <v>1983</v>
      </c>
      <c r="F16" s="923">
        <v>100.8</v>
      </c>
      <c r="G16" s="119">
        <v>57</v>
      </c>
      <c r="H16" s="96">
        <f>H15+G16</f>
        <v>261</v>
      </c>
      <c r="I16" s="924" t="s">
        <v>725</v>
      </c>
      <c r="J16" s="73"/>
    </row>
    <row r="17" spans="1:23" ht="20.25" customHeight="1" thickBot="1" x14ac:dyDescent="0.3">
      <c r="A17" s="1031" t="s">
        <v>63</v>
      </c>
      <c r="B17" s="1031"/>
      <c r="C17" s="1031"/>
      <c r="D17" s="1031"/>
      <c r="E17" s="1032"/>
      <c r="F17" s="121">
        <f>SUM(F12:F16)</f>
        <v>421.4</v>
      </c>
      <c r="G17" s="104"/>
      <c r="H17" s="966">
        <f>H16</f>
        <v>261</v>
      </c>
      <c r="I17" s="104"/>
      <c r="J17" s="73"/>
    </row>
    <row r="18" spans="1:23" ht="31.5" customHeight="1" thickBot="1" x14ac:dyDescent="0.3">
      <c r="A18" s="137" t="s">
        <v>64</v>
      </c>
      <c r="B18" s="137"/>
      <c r="C18" s="1035" t="s">
        <v>512</v>
      </c>
      <c r="D18" s="1035"/>
      <c r="E18" s="138"/>
      <c r="F18" s="138"/>
      <c r="G18" s="138"/>
      <c r="H18" s="138"/>
      <c r="I18" s="138"/>
      <c r="J18" s="71"/>
    </row>
    <row r="19" spans="1:23" ht="24" customHeight="1" thickBot="1" x14ac:dyDescent="0.3">
      <c r="A19" s="139" t="s">
        <v>15</v>
      </c>
      <c r="B19" s="140" t="s">
        <v>53</v>
      </c>
      <c r="C19" s="141" t="s">
        <v>54</v>
      </c>
      <c r="D19" s="140" t="s">
        <v>55</v>
      </c>
      <c r="E19" s="141" t="s">
        <v>17</v>
      </c>
      <c r="F19" s="141" t="s">
        <v>56</v>
      </c>
      <c r="G19" s="141" t="s">
        <v>57</v>
      </c>
      <c r="H19" s="141" t="s">
        <v>58</v>
      </c>
      <c r="I19" s="142" t="s">
        <v>59</v>
      </c>
      <c r="J19" s="73"/>
    </row>
    <row r="20" spans="1:23" ht="15" customHeight="1" x14ac:dyDescent="0.25">
      <c r="A20" s="1075">
        <v>2</v>
      </c>
      <c r="B20" s="110">
        <v>1</v>
      </c>
      <c r="C20" s="143">
        <v>68</v>
      </c>
      <c r="D20" s="489" t="s">
        <v>614</v>
      </c>
      <c r="E20" s="535">
        <v>1996</v>
      </c>
      <c r="F20" s="472">
        <v>67.849999999999994</v>
      </c>
      <c r="G20" s="86">
        <v>48</v>
      </c>
      <c r="H20" s="110">
        <f>G20</f>
        <v>48</v>
      </c>
      <c r="I20" s="601" t="s">
        <v>38</v>
      </c>
      <c r="J20" s="199"/>
    </row>
    <row r="21" spans="1:23" ht="15.75" customHeight="1" x14ac:dyDescent="0.25">
      <c r="A21" s="1076"/>
      <c r="B21" s="86">
        <v>2</v>
      </c>
      <c r="C21" s="144">
        <v>73</v>
      </c>
      <c r="D21" s="489" t="s">
        <v>505</v>
      </c>
      <c r="E21" s="161">
        <v>1979</v>
      </c>
      <c r="F21" s="468">
        <v>70.400000000000006</v>
      </c>
      <c r="G21" s="86">
        <v>43</v>
      </c>
      <c r="H21" s="86">
        <f>H20+G21</f>
        <v>91</v>
      </c>
      <c r="I21" s="621" t="s">
        <v>162</v>
      </c>
      <c r="J21" s="73" t="s">
        <v>99</v>
      </c>
    </row>
    <row r="22" spans="1:23" ht="15" customHeight="1" x14ac:dyDescent="0.25">
      <c r="A22" s="1076"/>
      <c r="B22" s="86">
        <v>3</v>
      </c>
      <c r="C22" s="145">
        <v>85</v>
      </c>
      <c r="D22" s="531" t="s">
        <v>506</v>
      </c>
      <c r="E22" s="480">
        <v>1998</v>
      </c>
      <c r="F22" s="468">
        <v>84.3</v>
      </c>
      <c r="G22" s="86">
        <v>56</v>
      </c>
      <c r="H22" s="86">
        <f>H21+G22</f>
        <v>147</v>
      </c>
      <c r="I22" s="622" t="s">
        <v>38</v>
      </c>
      <c r="J22" s="73"/>
    </row>
    <row r="23" spans="1:23" ht="15" customHeight="1" x14ac:dyDescent="0.25">
      <c r="A23" s="1076"/>
      <c r="B23" s="86">
        <v>4</v>
      </c>
      <c r="C23" s="145">
        <v>95</v>
      </c>
      <c r="D23" s="602" t="s">
        <v>784</v>
      </c>
      <c r="E23" s="512">
        <v>1992</v>
      </c>
      <c r="F23" s="472">
        <v>94.2</v>
      </c>
      <c r="G23" s="146">
        <v>58</v>
      </c>
      <c r="H23" s="86">
        <f>H22+G23</f>
        <v>205</v>
      </c>
      <c r="I23" s="622" t="s">
        <v>785</v>
      </c>
      <c r="J23" s="73"/>
    </row>
    <row r="24" spans="1:23" ht="15" customHeight="1" thickBot="1" x14ac:dyDescent="0.3">
      <c r="A24" s="1077"/>
      <c r="B24" s="120">
        <v>5</v>
      </c>
      <c r="C24" s="147" t="s">
        <v>431</v>
      </c>
      <c r="D24" s="603" t="s">
        <v>800</v>
      </c>
      <c r="E24" s="623">
        <v>1998</v>
      </c>
      <c r="F24" s="624">
        <v>95.25</v>
      </c>
      <c r="G24" s="148">
        <v>55</v>
      </c>
      <c r="H24" s="120">
        <f>H23+G24</f>
        <v>260</v>
      </c>
      <c r="I24" s="625" t="s">
        <v>803</v>
      </c>
      <c r="J24" s="73"/>
    </row>
    <row r="25" spans="1:23" ht="15" customHeight="1" thickBot="1" x14ac:dyDescent="0.3">
      <c r="A25" s="1078" t="s">
        <v>63</v>
      </c>
      <c r="B25" s="1078"/>
      <c r="C25" s="1078"/>
      <c r="D25" s="1078"/>
      <c r="E25" s="1079"/>
      <c r="F25" s="149">
        <f>SUM(F20:F24)</f>
        <v>412</v>
      </c>
      <c r="G25" s="138"/>
      <c r="H25" s="966">
        <f>H24</f>
        <v>260</v>
      </c>
      <c r="I25" s="138"/>
      <c r="J25" s="73"/>
    </row>
    <row r="26" spans="1:23" ht="11.25" customHeight="1" x14ac:dyDescent="0.25">
      <c r="A26" s="910"/>
      <c r="B26" s="910"/>
      <c r="C26" s="910"/>
      <c r="D26" s="910"/>
      <c r="E26" s="336"/>
      <c r="F26" s="965"/>
      <c r="G26" s="104"/>
      <c r="H26" s="335"/>
      <c r="I26" s="104"/>
      <c r="J26" s="73"/>
    </row>
    <row r="27" spans="1:23" ht="19.5" customHeight="1" thickBot="1" x14ac:dyDescent="0.3">
      <c r="A27" s="72" t="s">
        <v>52</v>
      </c>
      <c r="B27" s="73"/>
      <c r="C27" s="1037" t="s">
        <v>511</v>
      </c>
      <c r="D27" s="1036"/>
      <c r="E27" s="74"/>
      <c r="F27" s="74"/>
      <c r="G27" s="74"/>
      <c r="H27" s="74"/>
      <c r="I27" s="71"/>
      <c r="J27" s="188"/>
      <c r="K27" s="68"/>
      <c r="L27" s="68"/>
      <c r="M27" s="69"/>
      <c r="N27" s="70"/>
      <c r="O27" s="70"/>
      <c r="P27" s="59"/>
      <c r="Q27" s="59"/>
      <c r="R27" s="59"/>
      <c r="S27" s="59"/>
      <c r="T27" s="59"/>
      <c r="U27" s="59"/>
      <c r="V27" s="59"/>
      <c r="W27" s="59"/>
    </row>
    <row r="28" spans="1:23" ht="23.25" customHeight="1" thickBot="1" x14ac:dyDescent="0.3">
      <c r="A28" s="75" t="s">
        <v>15</v>
      </c>
      <c r="B28" s="76" t="s">
        <v>53</v>
      </c>
      <c r="C28" s="77" t="s">
        <v>54</v>
      </c>
      <c r="D28" s="76" t="s">
        <v>55</v>
      </c>
      <c r="E28" s="77" t="s">
        <v>17</v>
      </c>
      <c r="F28" s="77" t="s">
        <v>56</v>
      </c>
      <c r="G28" s="77" t="s">
        <v>57</v>
      </c>
      <c r="H28" s="77" t="s">
        <v>58</v>
      </c>
      <c r="I28" s="78" t="s">
        <v>59</v>
      </c>
    </row>
    <row r="29" spans="1:23" ht="15" customHeight="1" x14ac:dyDescent="0.25">
      <c r="A29" s="1075">
        <v>3</v>
      </c>
      <c r="B29" s="150">
        <v>1</v>
      </c>
      <c r="C29" s="196">
        <v>68</v>
      </c>
      <c r="D29" s="197" t="s">
        <v>94</v>
      </c>
      <c r="E29" s="480">
        <v>1986</v>
      </c>
      <c r="F29" s="468">
        <v>68</v>
      </c>
      <c r="G29" s="198">
        <v>48</v>
      </c>
      <c r="H29" s="110">
        <f>G29</f>
        <v>48</v>
      </c>
      <c r="I29" s="133" t="s">
        <v>49</v>
      </c>
    </row>
    <row r="30" spans="1:23" ht="15" customHeight="1" x14ac:dyDescent="0.25">
      <c r="A30" s="1076"/>
      <c r="B30" s="83">
        <v>2</v>
      </c>
      <c r="C30" s="90">
        <v>78</v>
      </c>
      <c r="D30" s="84" t="s">
        <v>484</v>
      </c>
      <c r="E30" s="480">
        <v>1998</v>
      </c>
      <c r="F30" s="468">
        <v>77.599999999999994</v>
      </c>
      <c r="G30" s="83">
        <v>52</v>
      </c>
      <c r="H30" s="86">
        <f>H29+G30</f>
        <v>100</v>
      </c>
      <c r="I30" s="201" t="s">
        <v>761</v>
      </c>
    </row>
    <row r="31" spans="1:23" ht="14.25" customHeight="1" x14ac:dyDescent="0.25">
      <c r="A31" s="1076"/>
      <c r="B31" s="83">
        <v>3</v>
      </c>
      <c r="C31" s="90">
        <v>85</v>
      </c>
      <c r="D31" s="84" t="s">
        <v>649</v>
      </c>
      <c r="E31" s="480">
        <v>1995</v>
      </c>
      <c r="F31" s="468">
        <v>83.4</v>
      </c>
      <c r="G31" s="83">
        <v>49</v>
      </c>
      <c r="H31" s="86">
        <f>H30+G31</f>
        <v>149</v>
      </c>
      <c r="I31" s="132" t="s">
        <v>650</v>
      </c>
    </row>
    <row r="32" spans="1:23" ht="15" customHeight="1" x14ac:dyDescent="0.25">
      <c r="A32" s="1076"/>
      <c r="B32" s="83">
        <v>4</v>
      </c>
      <c r="C32" s="90">
        <v>95</v>
      </c>
      <c r="D32" s="87" t="s">
        <v>503</v>
      </c>
      <c r="E32" s="496">
        <v>1995</v>
      </c>
      <c r="F32" s="629">
        <v>90.65</v>
      </c>
      <c r="G32" s="89">
        <v>49</v>
      </c>
      <c r="H32" s="86">
        <f>H31+G32</f>
        <v>198</v>
      </c>
      <c r="I32" s="915" t="s">
        <v>795</v>
      </c>
    </row>
    <row r="33" spans="1:10" ht="15" customHeight="1" thickBot="1" x14ac:dyDescent="0.3">
      <c r="A33" s="1077"/>
      <c r="B33" s="92">
        <v>5</v>
      </c>
      <c r="C33" s="93" t="s">
        <v>431</v>
      </c>
      <c r="D33" s="202" t="s">
        <v>504</v>
      </c>
      <c r="E33" s="511">
        <v>1994</v>
      </c>
      <c r="F33" s="470">
        <v>101.3</v>
      </c>
      <c r="G33" s="95">
        <v>55</v>
      </c>
      <c r="H33" s="120">
        <f>H32+G33</f>
        <v>253</v>
      </c>
      <c r="I33" s="156" t="s">
        <v>502</v>
      </c>
    </row>
    <row r="34" spans="1:10" ht="15" customHeight="1" thickBot="1" x14ac:dyDescent="0.3">
      <c r="A34" s="1031" t="s">
        <v>63</v>
      </c>
      <c r="B34" s="1031"/>
      <c r="C34" s="1031"/>
      <c r="D34" s="1031"/>
      <c r="E34" s="1032"/>
      <c r="F34" s="204">
        <f>SUM(F29:F33)</f>
        <v>420.95</v>
      </c>
      <c r="G34" s="74"/>
      <c r="H34" s="967">
        <f>H33</f>
        <v>253</v>
      </c>
      <c r="I34" s="74"/>
    </row>
    <row r="35" spans="1:10" ht="15" customHeight="1" x14ac:dyDescent="0.25">
      <c r="A35" s="910"/>
      <c r="B35" s="910"/>
      <c r="C35" s="910"/>
      <c r="D35" s="910"/>
      <c r="E35" s="336"/>
      <c r="F35" s="337"/>
      <c r="G35" s="74"/>
      <c r="H35" s="968"/>
      <c r="I35" s="74"/>
    </row>
    <row r="36" spans="1:10" ht="17.25" customHeight="1" thickBot="1" x14ac:dyDescent="0.3">
      <c r="A36" s="122" t="s">
        <v>67</v>
      </c>
      <c r="B36" s="122"/>
      <c r="C36" s="911" t="s">
        <v>841</v>
      </c>
      <c r="D36" s="338"/>
      <c r="E36" s="123"/>
      <c r="F36" s="123"/>
      <c r="G36" s="123"/>
      <c r="H36" s="123"/>
      <c r="I36" s="123"/>
    </row>
    <row r="37" spans="1:10" ht="24" customHeight="1" thickBot="1" x14ac:dyDescent="0.3">
      <c r="A37" s="124" t="s">
        <v>15</v>
      </c>
      <c r="B37" s="125" t="s">
        <v>53</v>
      </c>
      <c r="C37" s="126" t="s">
        <v>54</v>
      </c>
      <c r="D37" s="125" t="s">
        <v>55</v>
      </c>
      <c r="E37" s="126" t="s">
        <v>17</v>
      </c>
      <c r="F37" s="126" t="s">
        <v>56</v>
      </c>
      <c r="G37" s="126" t="s">
        <v>57</v>
      </c>
      <c r="H37" s="126" t="s">
        <v>68</v>
      </c>
      <c r="I37" s="127" t="s">
        <v>59</v>
      </c>
    </row>
    <row r="38" spans="1:10" x14ac:dyDescent="0.25">
      <c r="A38" s="1080">
        <v>4</v>
      </c>
      <c r="B38" s="857">
        <v>1</v>
      </c>
      <c r="C38" s="607">
        <v>63</v>
      </c>
      <c r="D38" s="608" t="s">
        <v>605</v>
      </c>
      <c r="E38" s="263">
        <v>1995</v>
      </c>
      <c r="F38" s="317">
        <v>62.75</v>
      </c>
      <c r="G38" s="607">
        <v>53</v>
      </c>
      <c r="H38" s="145">
        <f>G38</f>
        <v>53</v>
      </c>
      <c r="I38" s="154" t="s">
        <v>126</v>
      </c>
    </row>
    <row r="39" spans="1:10" ht="17.25" customHeight="1" x14ac:dyDescent="0.25">
      <c r="A39" s="1039"/>
      <c r="B39" s="609">
        <v>2</v>
      </c>
      <c r="C39" s="609">
        <v>78</v>
      </c>
      <c r="D39" s="610" t="s">
        <v>843</v>
      </c>
      <c r="E39" s="512">
        <v>2002</v>
      </c>
      <c r="F39" s="472">
        <v>73.5</v>
      </c>
      <c r="G39" s="609">
        <v>38</v>
      </c>
      <c r="H39" s="86">
        <f>H38+G39</f>
        <v>91</v>
      </c>
      <c r="I39" s="605" t="s">
        <v>845</v>
      </c>
    </row>
    <row r="40" spans="1:10" ht="17.25" customHeight="1" x14ac:dyDescent="0.25">
      <c r="A40" s="1039"/>
      <c r="B40" s="609">
        <v>3</v>
      </c>
      <c r="C40" s="609">
        <v>85</v>
      </c>
      <c r="D40" s="611" t="s">
        <v>648</v>
      </c>
      <c r="E40" s="227">
        <v>1992</v>
      </c>
      <c r="F40" s="91">
        <v>81.599999999999994</v>
      </c>
      <c r="G40" s="609">
        <v>53</v>
      </c>
      <c r="H40" s="86">
        <f>H39+G40</f>
        <v>144</v>
      </c>
      <c r="I40" s="617" t="s">
        <v>405</v>
      </c>
    </row>
    <row r="41" spans="1:10" ht="16.5" customHeight="1" x14ac:dyDescent="0.25">
      <c r="A41" s="1039"/>
      <c r="B41" s="609">
        <v>4</v>
      </c>
      <c r="C41" s="609">
        <v>95</v>
      </c>
      <c r="D41" s="612" t="s">
        <v>844</v>
      </c>
      <c r="E41" s="356">
        <v>1988</v>
      </c>
      <c r="F41" s="579">
        <v>90.15</v>
      </c>
      <c r="G41" s="613">
        <v>46</v>
      </c>
      <c r="H41" s="86">
        <f>H40+G41</f>
        <v>190</v>
      </c>
      <c r="I41" s="618" t="s">
        <v>126</v>
      </c>
    </row>
    <row r="42" spans="1:10" ht="17.25" customHeight="1" thickBot="1" x14ac:dyDescent="0.3">
      <c r="A42" s="1040"/>
      <c r="B42" s="921">
        <v>5</v>
      </c>
      <c r="C42" s="614" t="s">
        <v>431</v>
      </c>
      <c r="D42" s="615" t="s">
        <v>789</v>
      </c>
      <c r="E42" s="619">
        <v>1976</v>
      </c>
      <c r="F42" s="620">
        <v>95.35</v>
      </c>
      <c r="G42" s="616">
        <v>55</v>
      </c>
      <c r="H42" s="120">
        <f>H41+G42</f>
        <v>245</v>
      </c>
      <c r="I42" s="920" t="s">
        <v>791</v>
      </c>
    </row>
    <row r="43" spans="1:10" ht="15" customHeight="1" thickBot="1" x14ac:dyDescent="0.3">
      <c r="A43" s="135"/>
      <c r="B43" s="135"/>
      <c r="C43" s="135"/>
      <c r="D43" s="135" t="s">
        <v>69</v>
      </c>
      <c r="E43" s="136"/>
      <c r="F43" s="189">
        <f>SUM(F38:F42)</f>
        <v>403.35</v>
      </c>
      <c r="G43" s="123"/>
      <c r="H43" s="966">
        <f>H42</f>
        <v>245</v>
      </c>
      <c r="I43" s="123"/>
    </row>
    <row r="44" spans="1:10" ht="31.5" customHeight="1" thickBot="1" x14ac:dyDescent="0.3">
      <c r="A44" s="137" t="s">
        <v>64</v>
      </c>
      <c r="B44" s="137"/>
      <c r="C44" s="1035" t="s">
        <v>327</v>
      </c>
      <c r="D44" s="1035"/>
      <c r="E44" s="138"/>
      <c r="F44" s="138"/>
      <c r="G44" s="138"/>
      <c r="H44" s="138"/>
      <c r="I44" s="138"/>
      <c r="J44" s="71"/>
    </row>
    <row r="45" spans="1:10" ht="24" customHeight="1" thickBot="1" x14ac:dyDescent="0.3">
      <c r="A45" s="139" t="s">
        <v>15</v>
      </c>
      <c r="B45" s="140" t="s">
        <v>53</v>
      </c>
      <c r="C45" s="141" t="s">
        <v>54</v>
      </c>
      <c r="D45" s="140" t="s">
        <v>55</v>
      </c>
      <c r="E45" s="141" t="s">
        <v>17</v>
      </c>
      <c r="F45" s="141" t="s">
        <v>56</v>
      </c>
      <c r="G45" s="141" t="s">
        <v>57</v>
      </c>
      <c r="H45" s="141" t="s">
        <v>58</v>
      </c>
      <c r="I45" s="142" t="s">
        <v>59</v>
      </c>
      <c r="J45" s="73"/>
    </row>
    <row r="46" spans="1:10" ht="15" customHeight="1" x14ac:dyDescent="0.25">
      <c r="A46" s="1075">
        <v>5</v>
      </c>
      <c r="B46" s="110">
        <v>1</v>
      </c>
      <c r="C46" s="143">
        <v>63</v>
      </c>
      <c r="D46" s="489" t="s">
        <v>127</v>
      </c>
      <c r="E46" s="535">
        <v>1990</v>
      </c>
      <c r="F46" s="472">
        <v>62.45</v>
      </c>
      <c r="G46" s="86">
        <v>31</v>
      </c>
      <c r="H46" s="110">
        <f>G46</f>
        <v>31</v>
      </c>
      <c r="I46" s="601" t="s">
        <v>596</v>
      </c>
      <c r="J46" s="199"/>
    </row>
    <row r="47" spans="1:10" ht="15.75" customHeight="1" x14ac:dyDescent="0.25">
      <c r="A47" s="1076"/>
      <c r="B47" s="86">
        <v>2</v>
      </c>
      <c r="C47" s="144">
        <v>78</v>
      </c>
      <c r="D47" s="489" t="s">
        <v>364</v>
      </c>
      <c r="E47" s="161">
        <v>1987</v>
      </c>
      <c r="F47" s="468">
        <v>77.2</v>
      </c>
      <c r="G47" s="86">
        <v>46</v>
      </c>
      <c r="H47" s="86">
        <f>H46+G47</f>
        <v>77</v>
      </c>
      <c r="I47" s="621" t="s">
        <v>762</v>
      </c>
      <c r="J47" s="73" t="s">
        <v>99</v>
      </c>
    </row>
    <row r="48" spans="1:10" ht="15" customHeight="1" x14ac:dyDescent="0.25">
      <c r="A48" s="1076"/>
      <c r="B48" s="86">
        <v>3</v>
      </c>
      <c r="C48" s="145">
        <v>85</v>
      </c>
      <c r="D48" s="531" t="s">
        <v>90</v>
      </c>
      <c r="E48" s="480">
        <v>1987</v>
      </c>
      <c r="F48" s="468">
        <v>78.099999999999994</v>
      </c>
      <c r="G48" s="86">
        <v>40</v>
      </c>
      <c r="H48" s="86">
        <f>H47+G48</f>
        <v>117</v>
      </c>
      <c r="I48" s="622" t="s">
        <v>777</v>
      </c>
      <c r="J48" s="73"/>
    </row>
    <row r="49" spans="1:10" ht="15" customHeight="1" x14ac:dyDescent="0.25">
      <c r="A49" s="1076"/>
      <c r="B49" s="86">
        <v>4</v>
      </c>
      <c r="C49" s="145">
        <v>95</v>
      </c>
      <c r="D49" s="602" t="s">
        <v>62</v>
      </c>
      <c r="E49" s="512">
        <v>1987</v>
      </c>
      <c r="F49" s="472">
        <v>87.9</v>
      </c>
      <c r="G49" s="146">
        <v>40</v>
      </c>
      <c r="H49" s="86">
        <f>H48+G49</f>
        <v>157</v>
      </c>
      <c r="I49" s="622" t="s">
        <v>780</v>
      </c>
      <c r="J49" s="73"/>
    </row>
    <row r="50" spans="1:10" ht="15" customHeight="1" thickBot="1" x14ac:dyDescent="0.3">
      <c r="A50" s="1077"/>
      <c r="B50" s="120">
        <v>5</v>
      </c>
      <c r="C50" s="147" t="s">
        <v>431</v>
      </c>
      <c r="D50" s="603" t="s">
        <v>240</v>
      </c>
      <c r="E50" s="623">
        <v>1976</v>
      </c>
      <c r="F50" s="624">
        <v>103.35</v>
      </c>
      <c r="G50" s="148">
        <v>34</v>
      </c>
      <c r="H50" s="120">
        <f>H49+G50</f>
        <v>191</v>
      </c>
      <c r="I50" s="625" t="s">
        <v>241</v>
      </c>
      <c r="J50" s="73"/>
    </row>
    <row r="51" spans="1:10" ht="15" customHeight="1" thickBot="1" x14ac:dyDescent="0.3">
      <c r="A51" s="1078" t="s">
        <v>63</v>
      </c>
      <c r="B51" s="1078"/>
      <c r="C51" s="1078"/>
      <c r="D51" s="1078"/>
      <c r="E51" s="1079"/>
      <c r="F51" s="149">
        <f>SUM(F46:F50)</f>
        <v>409</v>
      </c>
      <c r="G51" s="138"/>
      <c r="H51" s="190">
        <f>H50</f>
        <v>191</v>
      </c>
      <c r="I51" s="138"/>
      <c r="J51" s="73"/>
    </row>
    <row r="52" spans="1:10" ht="15.75" x14ac:dyDescent="0.25">
      <c r="A52" s="324"/>
      <c r="B52" s="324"/>
      <c r="C52" s="324"/>
      <c r="D52" s="324"/>
      <c r="E52" s="336"/>
      <c r="F52" s="337"/>
      <c r="G52" s="74"/>
      <c r="H52" s="335"/>
      <c r="I52" s="74"/>
    </row>
    <row r="53" spans="1:10" x14ac:dyDescent="0.25">
      <c r="A53" s="214" t="s">
        <v>534</v>
      </c>
      <c r="B53" s="38"/>
      <c r="C53" s="38"/>
      <c r="D53" s="626"/>
      <c r="E53" s="457"/>
      <c r="F53" s="457"/>
      <c r="G53" s="457"/>
    </row>
    <row r="54" spans="1:10" x14ac:dyDescent="0.25">
      <c r="A54" s="214"/>
      <c r="B54" s="457"/>
      <c r="C54" s="457"/>
      <c r="D54" s="38"/>
      <c r="E54" s="38"/>
      <c r="F54" s="38"/>
      <c r="G54" s="38"/>
    </row>
    <row r="55" spans="1:10" x14ac:dyDescent="0.25">
      <c r="A55" s="214" t="s">
        <v>535</v>
      </c>
      <c r="B55" s="457"/>
      <c r="C55" s="457"/>
      <c r="D55" s="626"/>
      <c r="E55" s="457"/>
      <c r="F55" s="457"/>
      <c r="G55" s="457"/>
    </row>
    <row r="56" spans="1:10" x14ac:dyDescent="0.25">
      <c r="A56" s="626"/>
      <c r="B56" s="626"/>
      <c r="C56" s="626"/>
      <c r="D56" s="626"/>
      <c r="E56" s="626"/>
      <c r="F56" s="626"/>
      <c r="G56" s="626"/>
    </row>
  </sheetData>
  <mergeCells count="22">
    <mergeCell ref="D1:H1"/>
    <mergeCell ref="D2:H2"/>
    <mergeCell ref="D3:H3"/>
    <mergeCell ref="D4:H4"/>
    <mergeCell ref="D5:H5"/>
    <mergeCell ref="D6:H6"/>
    <mergeCell ref="D7:H7"/>
    <mergeCell ref="A17:E17"/>
    <mergeCell ref="A8:C8"/>
    <mergeCell ref="A9:D9"/>
    <mergeCell ref="C10:D10"/>
    <mergeCell ref="A12:A16"/>
    <mergeCell ref="A29:A33"/>
    <mergeCell ref="C44:D44"/>
    <mergeCell ref="A46:A50"/>
    <mergeCell ref="A51:E51"/>
    <mergeCell ref="C18:D18"/>
    <mergeCell ref="A20:A24"/>
    <mergeCell ref="A25:E25"/>
    <mergeCell ref="C27:D27"/>
    <mergeCell ref="A34:E34"/>
    <mergeCell ref="A38:A42"/>
  </mergeCells>
  <phoneticPr fontId="33" type="noConversion"/>
  <pageMargins left="0.59055118110236227" right="0" top="0" bottom="0" header="0" footer="0"/>
  <pageSetup paperSize="9" scale="8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88"/>
  <sheetViews>
    <sheetView zoomScale="75" zoomScaleNormal="75" zoomScaleSheetLayoutView="100" zoomScalePageLayoutView="84" workbookViewId="0">
      <selection activeCell="U69" sqref="U69"/>
    </sheetView>
  </sheetViews>
  <sheetFormatPr defaultRowHeight="12.75" x14ac:dyDescent="0.2"/>
  <cols>
    <col min="1" max="1" width="5.85546875" customWidth="1"/>
    <col min="2" max="2" width="26.85546875" style="212" customWidth="1"/>
    <col min="3" max="3" width="3.5703125" style="167" customWidth="1"/>
    <col min="4" max="4" width="3.42578125" customWidth="1"/>
    <col min="5" max="5" width="3.5703125" style="167" customWidth="1"/>
    <col min="6" max="6" width="3.28515625" customWidth="1"/>
    <col min="7" max="7" width="3.42578125" style="167" customWidth="1"/>
    <col min="8" max="8" width="3.28515625" customWidth="1"/>
    <col min="9" max="9" width="3.5703125" style="167" customWidth="1"/>
    <col min="10" max="10" width="3.5703125" customWidth="1"/>
    <col min="11" max="11" width="3.5703125" style="167" customWidth="1"/>
    <col min="12" max="12" width="3.42578125" customWidth="1"/>
    <col min="13" max="13" width="5" style="167" customWidth="1"/>
    <col min="14" max="14" width="4.140625" customWidth="1"/>
    <col min="15" max="15" width="4" style="167" customWidth="1"/>
    <col min="16" max="16" width="3.85546875" customWidth="1"/>
    <col min="17" max="17" width="3.85546875" style="167" customWidth="1"/>
    <col min="18" max="18" width="3.5703125" customWidth="1"/>
    <col min="19" max="19" width="4" style="167" customWidth="1"/>
    <col min="20" max="20" width="3.85546875" customWidth="1"/>
    <col min="21" max="21" width="3.85546875" style="167" customWidth="1"/>
    <col min="22" max="22" width="4" customWidth="1"/>
    <col min="23" max="23" width="4.140625" style="167" customWidth="1"/>
    <col min="24" max="24" width="3.5703125" customWidth="1"/>
    <col min="25" max="25" width="3.85546875" style="167" customWidth="1"/>
    <col min="26" max="26" width="4" customWidth="1"/>
    <col min="27" max="27" width="4.140625" style="167" customWidth="1"/>
    <col min="28" max="28" width="3.42578125" customWidth="1"/>
    <col min="29" max="29" width="4.140625" style="167" customWidth="1"/>
    <col min="30" max="30" width="4" customWidth="1"/>
    <col min="31" max="31" width="4.28515625" style="167" customWidth="1"/>
    <col min="32" max="32" width="4.140625" customWidth="1"/>
    <col min="33" max="34" width="4.5703125" style="740" customWidth="1"/>
    <col min="35" max="35" width="4" style="167" customWidth="1"/>
    <col min="36" max="36" width="4" style="677" customWidth="1"/>
    <col min="37" max="37" width="3.85546875" customWidth="1"/>
    <col min="38" max="38" width="4.7109375" style="167" customWidth="1"/>
    <col min="39" max="39" width="3" customWidth="1"/>
    <col min="40" max="40" width="5.7109375" customWidth="1"/>
  </cols>
  <sheetData>
    <row r="1" spans="1:40" ht="12.75" customHeight="1" x14ac:dyDescent="0.2">
      <c r="A1" s="987" t="s">
        <v>0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  <c r="S1" s="987"/>
      <c r="T1" s="987"/>
      <c r="U1" s="987"/>
      <c r="V1" s="987"/>
      <c r="W1" s="987"/>
      <c r="X1" s="987"/>
      <c r="Y1" s="987"/>
      <c r="Z1" s="987"/>
      <c r="AA1" s="987"/>
      <c r="AB1" s="987"/>
      <c r="AC1" s="1087"/>
      <c r="AD1" s="1087"/>
      <c r="AE1" s="1087"/>
      <c r="AF1" s="1087"/>
      <c r="AG1" s="1087"/>
      <c r="AH1" s="1087"/>
      <c r="AI1" s="1087"/>
      <c r="AJ1" s="1087"/>
      <c r="AK1" s="1087"/>
      <c r="AL1" s="1087"/>
      <c r="AM1" s="1087"/>
      <c r="AN1" s="1087"/>
    </row>
    <row r="2" spans="1:40" ht="14.25" customHeight="1" x14ac:dyDescent="0.2">
      <c r="A2" s="987" t="s">
        <v>101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  <c r="V2" s="987"/>
      <c r="W2" s="987"/>
      <c r="X2" s="987"/>
      <c r="Y2" s="987"/>
      <c r="Z2" s="987"/>
      <c r="AA2" s="987"/>
      <c r="AB2" s="987"/>
      <c r="AC2" s="1087"/>
      <c r="AD2" s="1087"/>
      <c r="AE2" s="1087"/>
      <c r="AF2" s="1087"/>
      <c r="AG2" s="1087"/>
      <c r="AH2" s="1087"/>
      <c r="AI2" s="1087"/>
      <c r="AJ2" s="1087"/>
      <c r="AK2" s="1087"/>
      <c r="AL2" s="1087"/>
      <c r="AM2" s="1087"/>
      <c r="AN2" s="1087"/>
    </row>
    <row r="3" spans="1:40" ht="16.5" customHeight="1" x14ac:dyDescent="0.2">
      <c r="A3" s="969" t="s">
        <v>531</v>
      </c>
      <c r="B3" s="969"/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69"/>
      <c r="T3" s="969"/>
      <c r="U3" s="969"/>
      <c r="V3" s="969"/>
      <c r="W3" s="969"/>
      <c r="X3" s="969"/>
      <c r="Y3" s="969"/>
      <c r="Z3" s="969"/>
      <c r="AA3" s="969"/>
      <c r="AB3" s="969"/>
      <c r="AC3" s="969"/>
      <c r="AD3" s="969"/>
      <c r="AE3" s="969"/>
      <c r="AF3" s="969"/>
      <c r="AG3" s="969"/>
      <c r="AH3" s="969"/>
      <c r="AI3" s="969"/>
      <c r="AJ3" s="969"/>
      <c r="AK3" s="969"/>
      <c r="AL3" s="969"/>
      <c r="AM3" s="969"/>
      <c r="AN3" s="969"/>
    </row>
    <row r="4" spans="1:40" ht="21" customHeight="1" x14ac:dyDescent="0.2">
      <c r="A4" s="969" t="s">
        <v>532</v>
      </c>
      <c r="B4" s="969"/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  <c r="O4" s="969"/>
      <c r="P4" s="969"/>
      <c r="Q4" s="969"/>
      <c r="R4" s="969"/>
      <c r="S4" s="969"/>
      <c r="T4" s="969"/>
      <c r="U4" s="969"/>
      <c r="V4" s="969"/>
      <c r="W4" s="969"/>
      <c r="X4" s="969"/>
      <c r="Y4" s="969"/>
      <c r="Z4" s="969"/>
      <c r="AA4" s="969"/>
      <c r="AB4" s="969"/>
      <c r="AC4" s="969"/>
      <c r="AD4" s="969"/>
      <c r="AE4" s="969"/>
      <c r="AF4" s="969"/>
      <c r="AG4" s="969"/>
      <c r="AH4" s="969"/>
      <c r="AI4" s="969"/>
      <c r="AJ4" s="969"/>
      <c r="AK4" s="969"/>
      <c r="AL4" s="969"/>
      <c r="AM4" s="969"/>
      <c r="AN4" s="969"/>
    </row>
    <row r="5" spans="1:40" ht="30.75" customHeight="1" x14ac:dyDescent="0.3">
      <c r="A5" s="1090" t="s">
        <v>115</v>
      </c>
      <c r="B5" s="1043"/>
      <c r="C5" s="1043"/>
      <c r="D5" s="1043"/>
      <c r="E5" s="1043"/>
      <c r="F5" s="1043"/>
      <c r="G5" s="1043"/>
      <c r="H5" s="1043"/>
      <c r="I5" s="1043"/>
      <c r="J5" s="1043"/>
      <c r="K5" s="1043"/>
      <c r="L5" s="1043"/>
      <c r="M5" s="1043"/>
      <c r="N5" s="1043"/>
      <c r="O5" s="1043"/>
      <c r="P5" s="1043"/>
      <c r="Q5" s="1043"/>
      <c r="R5" s="1043"/>
      <c r="S5" s="1043"/>
      <c r="T5" s="1043"/>
      <c r="U5" s="1043"/>
      <c r="V5" s="1043"/>
      <c r="W5" s="1043"/>
      <c r="X5" s="1043"/>
      <c r="Y5" s="1043"/>
      <c r="Z5" s="1043"/>
      <c r="AA5" s="1043"/>
      <c r="AB5" s="1043"/>
      <c r="AC5" s="1043"/>
      <c r="AD5" s="1043"/>
      <c r="AE5" s="1043"/>
      <c r="AF5" s="1043"/>
      <c r="AG5" s="1043"/>
      <c r="AH5" s="1043"/>
      <c r="AI5" s="1043"/>
      <c r="AJ5" s="1043"/>
      <c r="AK5" s="1043"/>
      <c r="AL5" s="1043"/>
      <c r="AM5" s="1043"/>
      <c r="AN5" s="1043"/>
    </row>
    <row r="6" spans="1:40" ht="18.75" customHeight="1" x14ac:dyDescent="0.2">
      <c r="A6" s="1091" t="s">
        <v>554</v>
      </c>
      <c r="B6" s="1049"/>
      <c r="C6" s="1049"/>
      <c r="D6" s="1049"/>
      <c r="E6" s="1049"/>
      <c r="F6" s="1049"/>
      <c r="G6" s="1049"/>
      <c r="H6" s="1049"/>
      <c r="I6" s="1049"/>
      <c r="J6" s="1049"/>
      <c r="K6" s="1049"/>
      <c r="L6" s="1049"/>
      <c r="M6" s="1049"/>
      <c r="N6" s="1049"/>
      <c r="O6" s="1049"/>
      <c r="P6" s="1049"/>
      <c r="Q6" s="1049"/>
      <c r="R6" s="1049"/>
      <c r="S6" s="1049"/>
      <c r="T6" s="1049"/>
      <c r="U6" s="1049"/>
      <c r="V6" s="1049"/>
      <c r="W6" s="1049"/>
      <c r="X6" s="1049"/>
      <c r="Y6" s="1049"/>
      <c r="Z6" s="1049"/>
      <c r="AA6" s="1049"/>
      <c r="AB6" s="1049"/>
      <c r="AC6" s="1049"/>
      <c r="AD6" s="1049"/>
      <c r="AE6" s="1049"/>
      <c r="AF6" s="1049"/>
      <c r="AG6" s="1049"/>
      <c r="AH6" s="1049"/>
      <c r="AI6" s="1049"/>
      <c r="AJ6" s="1049"/>
      <c r="AK6" s="1049"/>
      <c r="AL6" s="1049"/>
      <c r="AM6" s="1049"/>
      <c r="AN6" s="1049"/>
    </row>
    <row r="7" spans="1:40" ht="13.5" x14ac:dyDescent="0.25">
      <c r="A7" s="775" t="s">
        <v>681</v>
      </c>
      <c r="B7" s="775"/>
      <c r="C7" s="775"/>
      <c r="D7" s="775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58"/>
      <c r="AA7" s="600"/>
      <c r="AB7" s="158"/>
      <c r="AC7" s="600"/>
      <c r="AD7" s="158"/>
      <c r="AE7" s="600"/>
      <c r="AF7" s="459"/>
      <c r="AG7" s="459"/>
      <c r="AH7" s="459"/>
      <c r="AI7" s="459"/>
      <c r="AJ7" s="989" t="s">
        <v>530</v>
      </c>
      <c r="AK7" s="989"/>
      <c r="AL7" s="989"/>
      <c r="AM7" s="989"/>
      <c r="AN7" s="989"/>
    </row>
    <row r="8" spans="1:40" ht="21.75" customHeight="1" thickBot="1" x14ac:dyDescent="0.3">
      <c r="A8" s="1088"/>
      <c r="B8" s="1088"/>
      <c r="C8" s="987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987"/>
      <c r="O8" s="987"/>
      <c r="P8" s="987"/>
      <c r="Q8" s="987"/>
      <c r="R8" s="987"/>
      <c r="S8" s="987"/>
      <c r="T8" s="987"/>
      <c r="U8" s="987"/>
      <c r="V8" s="987"/>
      <c r="W8" s="987"/>
      <c r="X8" s="987"/>
      <c r="Y8" s="987"/>
      <c r="Z8" s="1089"/>
      <c r="AA8" s="1089"/>
      <c r="AB8" s="1089"/>
      <c r="AC8" s="1089"/>
      <c r="AD8" s="1089"/>
      <c r="AE8" s="1089"/>
      <c r="AF8" s="1089"/>
      <c r="AG8" s="1089"/>
      <c r="AH8" s="1089"/>
      <c r="AI8" s="1089"/>
      <c r="AJ8" s="1089"/>
      <c r="AK8" s="1089"/>
      <c r="AL8" s="1089"/>
      <c r="AM8" s="1089"/>
      <c r="AN8" s="1089"/>
    </row>
    <row r="9" spans="1:40" ht="13.5" customHeight="1" thickBot="1" x14ac:dyDescent="0.25">
      <c r="A9" s="1099" t="s">
        <v>15</v>
      </c>
      <c r="B9" s="1106" t="s">
        <v>102</v>
      </c>
      <c r="C9" s="1084" t="s">
        <v>103</v>
      </c>
      <c r="D9" s="1085"/>
      <c r="E9" s="1085"/>
      <c r="F9" s="1085"/>
      <c r="G9" s="1085"/>
      <c r="H9" s="1085"/>
      <c r="I9" s="1085"/>
      <c r="J9" s="1086"/>
      <c r="K9" s="1094" t="s">
        <v>104</v>
      </c>
      <c r="L9" s="1095"/>
      <c r="M9" s="1095"/>
      <c r="N9" s="1095"/>
      <c r="O9" s="1095"/>
      <c r="P9" s="1095"/>
      <c r="Q9" s="1095"/>
      <c r="R9" s="1095"/>
      <c r="S9" s="1095"/>
      <c r="T9" s="1095"/>
      <c r="U9" s="1095"/>
      <c r="V9" s="1095"/>
      <c r="W9" s="1095"/>
      <c r="X9" s="1095"/>
      <c r="Y9" s="1094" t="s">
        <v>105</v>
      </c>
      <c r="Z9" s="1095"/>
      <c r="AA9" s="1095"/>
      <c r="AB9" s="1095"/>
      <c r="AC9" s="1095"/>
      <c r="AD9" s="1095"/>
      <c r="AE9" s="1095"/>
      <c r="AF9" s="1095"/>
      <c r="AG9" s="1095"/>
      <c r="AH9" s="1095"/>
      <c r="AI9" s="1095"/>
      <c r="AJ9" s="1095"/>
      <c r="AK9" s="1095"/>
      <c r="AL9" s="1095"/>
      <c r="AM9" s="1095"/>
      <c r="AN9" s="1101" t="s">
        <v>85</v>
      </c>
    </row>
    <row r="10" spans="1:40" ht="21" customHeight="1" thickBot="1" x14ac:dyDescent="0.25">
      <c r="A10" s="1100"/>
      <c r="B10" s="1106"/>
      <c r="C10" s="1097">
        <v>58</v>
      </c>
      <c r="D10" s="1098"/>
      <c r="E10" s="1097">
        <v>63</v>
      </c>
      <c r="F10" s="1098"/>
      <c r="G10" s="1097">
        <v>68</v>
      </c>
      <c r="H10" s="1098"/>
      <c r="I10" s="1097" t="s">
        <v>106</v>
      </c>
      <c r="J10" s="1105"/>
      <c r="K10" s="1097">
        <v>63</v>
      </c>
      <c r="L10" s="1104"/>
      <c r="M10" s="1092">
        <v>68</v>
      </c>
      <c r="N10" s="1093"/>
      <c r="O10" s="1092">
        <v>73</v>
      </c>
      <c r="P10" s="1093"/>
      <c r="Q10" s="1092">
        <v>78</v>
      </c>
      <c r="R10" s="1093"/>
      <c r="S10" s="1096">
        <v>85</v>
      </c>
      <c r="T10" s="1096"/>
      <c r="U10" s="1096">
        <v>95</v>
      </c>
      <c r="V10" s="1096"/>
      <c r="W10" s="1096" t="s">
        <v>91</v>
      </c>
      <c r="X10" s="1096"/>
      <c r="Y10" s="1097">
        <v>63</v>
      </c>
      <c r="Z10" s="1104"/>
      <c r="AA10" s="1103">
        <v>68</v>
      </c>
      <c r="AB10" s="1103"/>
      <c r="AC10" s="1092">
        <v>73</v>
      </c>
      <c r="AD10" s="1093"/>
      <c r="AE10" s="1092">
        <v>78</v>
      </c>
      <c r="AF10" s="1093"/>
      <c r="AG10" s="1096">
        <v>85</v>
      </c>
      <c r="AH10" s="1096"/>
      <c r="AI10" s="1096"/>
      <c r="AJ10" s="1096">
        <v>95</v>
      </c>
      <c r="AK10" s="1096"/>
      <c r="AL10" s="1096" t="s">
        <v>91</v>
      </c>
      <c r="AM10" s="1096"/>
      <c r="AN10" s="1102"/>
    </row>
    <row r="11" spans="1:40" ht="20.100000000000001" customHeight="1" x14ac:dyDescent="0.2">
      <c r="A11" s="206">
        <v>1</v>
      </c>
      <c r="B11" s="725" t="s">
        <v>86</v>
      </c>
      <c r="C11" s="685">
        <v>20</v>
      </c>
      <c r="D11" s="686"/>
      <c r="E11" s="687">
        <v>20</v>
      </c>
      <c r="F11" s="686"/>
      <c r="G11" s="687"/>
      <c r="H11" s="686"/>
      <c r="I11" s="687"/>
      <c r="J11" s="688"/>
      <c r="K11" s="689"/>
      <c r="L11" s="690"/>
      <c r="M11" s="679">
        <v>13</v>
      </c>
      <c r="N11" s="690"/>
      <c r="O11" s="679">
        <v>16</v>
      </c>
      <c r="P11" s="679"/>
      <c r="Q11" s="679"/>
      <c r="R11" s="690"/>
      <c r="S11" s="679"/>
      <c r="T11" s="690"/>
      <c r="U11" s="679">
        <v>14</v>
      </c>
      <c r="V11" s="690"/>
      <c r="W11" s="679">
        <v>20</v>
      </c>
      <c r="X11" s="690">
        <v>16</v>
      </c>
      <c r="Y11" s="689">
        <v>20</v>
      </c>
      <c r="Z11" s="690"/>
      <c r="AA11" s="679">
        <v>16</v>
      </c>
      <c r="AB11" s="691"/>
      <c r="AC11" s="679">
        <v>18</v>
      </c>
      <c r="AD11" s="690"/>
      <c r="AE11" s="679"/>
      <c r="AF11" s="690"/>
      <c r="AG11" s="733">
        <v>14</v>
      </c>
      <c r="AH11" s="949"/>
      <c r="AI11" s="690"/>
      <c r="AJ11" s="679"/>
      <c r="AK11" s="690"/>
      <c r="AL11" s="706">
        <v>20</v>
      </c>
      <c r="AM11" s="690"/>
      <c r="AN11" s="692">
        <f t="shared" ref="AN11:AN54" si="0">SUM(C11:AM11)</f>
        <v>207</v>
      </c>
    </row>
    <row r="12" spans="1:40" ht="20.100000000000001" customHeight="1" x14ac:dyDescent="0.25">
      <c r="A12" s="207">
        <v>2</v>
      </c>
      <c r="B12" s="726" t="s">
        <v>120</v>
      </c>
      <c r="C12" s="689"/>
      <c r="D12" s="691"/>
      <c r="E12" s="679">
        <v>16</v>
      </c>
      <c r="F12" s="691"/>
      <c r="G12" s="679"/>
      <c r="H12" s="691"/>
      <c r="I12" s="679">
        <v>20</v>
      </c>
      <c r="J12" s="693"/>
      <c r="K12" s="694">
        <v>18</v>
      </c>
      <c r="L12" s="695"/>
      <c r="M12" s="680">
        <v>11</v>
      </c>
      <c r="N12" s="695"/>
      <c r="O12" s="680">
        <v>18</v>
      </c>
      <c r="P12" s="695"/>
      <c r="Q12" s="680">
        <v>12</v>
      </c>
      <c r="R12" s="695"/>
      <c r="S12" s="680"/>
      <c r="T12" s="695"/>
      <c r="U12" s="680">
        <v>18</v>
      </c>
      <c r="V12" s="695"/>
      <c r="W12" s="680"/>
      <c r="X12" s="695"/>
      <c r="Y12" s="694">
        <v>15</v>
      </c>
      <c r="Z12" s="695"/>
      <c r="AA12" s="680">
        <v>12</v>
      </c>
      <c r="AB12" s="696"/>
      <c r="AC12" s="680">
        <v>20</v>
      </c>
      <c r="AD12" s="695"/>
      <c r="AE12" s="680">
        <v>7</v>
      </c>
      <c r="AF12" s="695"/>
      <c r="AG12" s="734"/>
      <c r="AH12" s="950"/>
      <c r="AI12" s="695"/>
      <c r="AJ12" s="680">
        <v>20</v>
      </c>
      <c r="AK12" s="695"/>
      <c r="AL12" s="707"/>
      <c r="AM12" s="695"/>
      <c r="AN12" s="692">
        <f t="shared" si="0"/>
        <v>187</v>
      </c>
    </row>
    <row r="13" spans="1:40" s="167" customFormat="1" ht="20.100000000000001" customHeight="1" x14ac:dyDescent="0.2">
      <c r="A13" s="207">
        <v>3</v>
      </c>
      <c r="B13" s="725" t="s">
        <v>27</v>
      </c>
      <c r="C13" s="689"/>
      <c r="D13" s="691"/>
      <c r="E13" s="679"/>
      <c r="F13" s="691"/>
      <c r="G13" s="679"/>
      <c r="H13" s="691">
        <v>18</v>
      </c>
      <c r="I13" s="679">
        <v>15</v>
      </c>
      <c r="J13" s="693"/>
      <c r="K13" s="694">
        <v>20</v>
      </c>
      <c r="L13" s="695"/>
      <c r="M13" s="680">
        <v>18</v>
      </c>
      <c r="N13" s="695">
        <v>16</v>
      </c>
      <c r="O13" s="680">
        <v>14</v>
      </c>
      <c r="P13" s="695"/>
      <c r="Q13" s="680"/>
      <c r="R13" s="695"/>
      <c r="S13" s="680">
        <v>11</v>
      </c>
      <c r="T13" s="695"/>
      <c r="U13" s="680"/>
      <c r="V13" s="695"/>
      <c r="W13" s="680"/>
      <c r="X13" s="695"/>
      <c r="Y13" s="694">
        <v>18</v>
      </c>
      <c r="Z13" s="695">
        <v>12</v>
      </c>
      <c r="AA13" s="680">
        <v>15</v>
      </c>
      <c r="AB13" s="696"/>
      <c r="AC13" s="680"/>
      <c r="AD13" s="695"/>
      <c r="AE13" s="680">
        <v>15</v>
      </c>
      <c r="AF13" s="695">
        <v>10</v>
      </c>
      <c r="AG13" s="734"/>
      <c r="AH13" s="951"/>
      <c r="AI13" s="695"/>
      <c r="AJ13" s="680"/>
      <c r="AK13" s="695"/>
      <c r="AL13" s="707"/>
      <c r="AM13" s="695"/>
      <c r="AN13" s="692">
        <f t="shared" si="0"/>
        <v>182</v>
      </c>
    </row>
    <row r="14" spans="1:40" ht="19.5" customHeight="1" x14ac:dyDescent="0.25">
      <c r="A14" s="207">
        <v>4</v>
      </c>
      <c r="B14" s="727" t="s">
        <v>432</v>
      </c>
      <c r="C14" s="689"/>
      <c r="D14" s="691"/>
      <c r="E14" s="679">
        <v>12</v>
      </c>
      <c r="F14" s="691"/>
      <c r="G14" s="679"/>
      <c r="H14" s="691"/>
      <c r="I14" s="679">
        <v>18</v>
      </c>
      <c r="J14" s="693"/>
      <c r="K14" s="694">
        <v>12</v>
      </c>
      <c r="L14" s="695"/>
      <c r="M14" s="680">
        <v>15</v>
      </c>
      <c r="N14" s="695"/>
      <c r="O14" s="680"/>
      <c r="P14" s="695"/>
      <c r="Q14" s="680">
        <v>16</v>
      </c>
      <c r="R14" s="695">
        <v>14</v>
      </c>
      <c r="S14" s="680">
        <v>14</v>
      </c>
      <c r="T14" s="695"/>
      <c r="U14" s="680"/>
      <c r="V14" s="695"/>
      <c r="W14" s="680"/>
      <c r="X14" s="695"/>
      <c r="Y14" s="694"/>
      <c r="Z14" s="695"/>
      <c r="AA14" s="680">
        <v>20</v>
      </c>
      <c r="AB14" s="696">
        <v>13</v>
      </c>
      <c r="AC14" s="680">
        <v>14</v>
      </c>
      <c r="AD14" s="695"/>
      <c r="AE14" s="680">
        <v>18</v>
      </c>
      <c r="AF14" s="695"/>
      <c r="AG14" s="734">
        <v>16</v>
      </c>
      <c r="AH14" s="950"/>
      <c r="AI14" s="695"/>
      <c r="AJ14" s="680"/>
      <c r="AK14" s="695"/>
      <c r="AL14" s="707"/>
      <c r="AM14" s="695"/>
      <c r="AN14" s="692">
        <f t="shared" si="0"/>
        <v>182</v>
      </c>
    </row>
    <row r="15" spans="1:40" ht="19.5" customHeight="1" x14ac:dyDescent="0.25">
      <c r="A15" s="207">
        <v>5</v>
      </c>
      <c r="B15" s="727" t="s">
        <v>439</v>
      </c>
      <c r="C15" s="689">
        <v>20</v>
      </c>
      <c r="D15" s="691"/>
      <c r="E15" s="679">
        <v>15</v>
      </c>
      <c r="F15" s="691"/>
      <c r="G15" s="679"/>
      <c r="H15" s="691"/>
      <c r="I15" s="679"/>
      <c r="J15" s="693"/>
      <c r="K15" s="694"/>
      <c r="L15" s="695"/>
      <c r="M15" s="680"/>
      <c r="N15" s="695"/>
      <c r="O15" s="680"/>
      <c r="P15" s="695"/>
      <c r="Q15" s="680">
        <v>9</v>
      </c>
      <c r="R15" s="695"/>
      <c r="S15" s="680">
        <v>8</v>
      </c>
      <c r="T15" s="695"/>
      <c r="U15" s="680">
        <v>16</v>
      </c>
      <c r="V15" s="695"/>
      <c r="W15" s="680">
        <v>18</v>
      </c>
      <c r="X15" s="695">
        <v>13</v>
      </c>
      <c r="Y15" s="694"/>
      <c r="Z15" s="695"/>
      <c r="AA15" s="680">
        <v>18</v>
      </c>
      <c r="AB15" s="696"/>
      <c r="AC15" s="680"/>
      <c r="AD15" s="695"/>
      <c r="AE15" s="680">
        <v>11</v>
      </c>
      <c r="AF15" s="695"/>
      <c r="AG15" s="734"/>
      <c r="AH15" s="950"/>
      <c r="AI15" s="695"/>
      <c r="AJ15" s="680">
        <v>16</v>
      </c>
      <c r="AK15" s="695"/>
      <c r="AL15" s="707">
        <v>15</v>
      </c>
      <c r="AM15" s="695">
        <v>14</v>
      </c>
      <c r="AN15" s="692">
        <f t="shared" si="0"/>
        <v>173</v>
      </c>
    </row>
    <row r="16" spans="1:40" ht="20.100000000000001" customHeight="1" x14ac:dyDescent="0.2">
      <c r="A16" s="207">
        <v>6</v>
      </c>
      <c r="B16" s="729" t="s">
        <v>32</v>
      </c>
      <c r="C16" s="689"/>
      <c r="D16" s="691"/>
      <c r="E16" s="679">
        <v>18</v>
      </c>
      <c r="F16" s="691"/>
      <c r="G16" s="679"/>
      <c r="H16" s="691"/>
      <c r="I16" s="679"/>
      <c r="J16" s="693"/>
      <c r="K16" s="694">
        <v>14</v>
      </c>
      <c r="L16" s="695"/>
      <c r="M16" s="680"/>
      <c r="N16" s="695"/>
      <c r="O16" s="680"/>
      <c r="P16" s="695"/>
      <c r="Q16" s="680">
        <v>15</v>
      </c>
      <c r="R16" s="695"/>
      <c r="S16" s="680"/>
      <c r="T16" s="695"/>
      <c r="U16" s="680">
        <v>12</v>
      </c>
      <c r="V16" s="695"/>
      <c r="W16" s="680">
        <v>12</v>
      </c>
      <c r="X16" s="695"/>
      <c r="Y16" s="694">
        <v>10</v>
      </c>
      <c r="Z16" s="695"/>
      <c r="AA16" s="680"/>
      <c r="AB16" s="696"/>
      <c r="AC16" s="680"/>
      <c r="AD16" s="695"/>
      <c r="AE16" s="680">
        <v>9</v>
      </c>
      <c r="AF16" s="695"/>
      <c r="AG16" s="734">
        <v>18</v>
      </c>
      <c r="AH16" s="950">
        <v>15</v>
      </c>
      <c r="AI16" s="695">
        <v>11</v>
      </c>
      <c r="AJ16" s="680"/>
      <c r="AK16" s="695"/>
      <c r="AL16" s="707"/>
      <c r="AM16" s="695"/>
      <c r="AN16" s="692">
        <f t="shared" si="0"/>
        <v>134</v>
      </c>
    </row>
    <row r="17" spans="1:42" ht="20.100000000000001" customHeight="1" x14ac:dyDescent="0.2">
      <c r="A17" s="207">
        <v>7</v>
      </c>
      <c r="B17" s="730" t="s">
        <v>438</v>
      </c>
      <c r="C17" s="689"/>
      <c r="D17" s="691"/>
      <c r="E17" s="679"/>
      <c r="F17" s="691"/>
      <c r="G17" s="679"/>
      <c r="H17" s="691"/>
      <c r="I17" s="679"/>
      <c r="J17" s="693"/>
      <c r="K17" s="694"/>
      <c r="L17" s="695"/>
      <c r="M17" s="680">
        <v>14</v>
      </c>
      <c r="N17" s="695"/>
      <c r="O17" s="680">
        <v>13</v>
      </c>
      <c r="P17" s="695"/>
      <c r="Q17" s="680"/>
      <c r="R17" s="695"/>
      <c r="S17" s="680">
        <v>20</v>
      </c>
      <c r="T17" s="695"/>
      <c r="U17" s="680"/>
      <c r="V17" s="695"/>
      <c r="W17" s="680"/>
      <c r="X17" s="695"/>
      <c r="Y17" s="694"/>
      <c r="Z17" s="695"/>
      <c r="AA17" s="680">
        <v>14</v>
      </c>
      <c r="AB17" s="696"/>
      <c r="AC17" s="680">
        <v>12</v>
      </c>
      <c r="AD17" s="695"/>
      <c r="AE17" s="680"/>
      <c r="AF17" s="695"/>
      <c r="AG17" s="734"/>
      <c r="AH17" s="950"/>
      <c r="AI17" s="695"/>
      <c r="AJ17" s="680">
        <v>18</v>
      </c>
      <c r="AK17" s="695"/>
      <c r="AL17" s="707">
        <v>13</v>
      </c>
      <c r="AM17" s="695"/>
      <c r="AN17" s="692">
        <f t="shared" si="0"/>
        <v>104</v>
      </c>
    </row>
    <row r="18" spans="1:42" s="167" customFormat="1" ht="20.100000000000001" customHeight="1" x14ac:dyDescent="0.2">
      <c r="A18" s="207">
        <v>8</v>
      </c>
      <c r="B18" s="728" t="s">
        <v>125</v>
      </c>
      <c r="C18" s="689">
        <v>15</v>
      </c>
      <c r="D18" s="691"/>
      <c r="E18" s="679"/>
      <c r="F18" s="691"/>
      <c r="G18" s="679">
        <v>14</v>
      </c>
      <c r="H18" s="691"/>
      <c r="I18" s="679"/>
      <c r="J18" s="693"/>
      <c r="K18" s="694">
        <v>16</v>
      </c>
      <c r="L18" s="695"/>
      <c r="M18" s="680"/>
      <c r="N18" s="695"/>
      <c r="O18" s="680"/>
      <c r="P18" s="695"/>
      <c r="Q18" s="680"/>
      <c r="R18" s="695"/>
      <c r="S18" s="680">
        <v>12</v>
      </c>
      <c r="T18" s="695"/>
      <c r="U18" s="680"/>
      <c r="V18" s="695"/>
      <c r="W18" s="680"/>
      <c r="X18" s="695"/>
      <c r="Y18" s="694">
        <v>16</v>
      </c>
      <c r="Z18" s="695"/>
      <c r="AA18" s="680"/>
      <c r="AB18" s="696"/>
      <c r="AC18" s="680"/>
      <c r="AD18" s="695"/>
      <c r="AE18" s="680"/>
      <c r="AF18" s="695"/>
      <c r="AG18" s="734"/>
      <c r="AH18" s="950"/>
      <c r="AI18" s="695"/>
      <c r="AJ18" s="680">
        <v>15</v>
      </c>
      <c r="AK18" s="695"/>
      <c r="AL18" s="707"/>
      <c r="AM18" s="695"/>
      <c r="AN18" s="692">
        <f t="shared" si="0"/>
        <v>88</v>
      </c>
    </row>
    <row r="19" spans="1:42" ht="20.100000000000001" customHeight="1" x14ac:dyDescent="0.2">
      <c r="A19" s="207">
        <v>9</v>
      </c>
      <c r="B19" s="728" t="s">
        <v>122</v>
      </c>
      <c r="C19" s="689"/>
      <c r="D19" s="691"/>
      <c r="E19" s="679"/>
      <c r="F19" s="691"/>
      <c r="G19" s="679"/>
      <c r="H19" s="691"/>
      <c r="I19" s="679"/>
      <c r="J19" s="693"/>
      <c r="K19" s="694">
        <v>11</v>
      </c>
      <c r="L19" s="695"/>
      <c r="M19" s="680"/>
      <c r="N19" s="695"/>
      <c r="O19" s="680">
        <v>15</v>
      </c>
      <c r="P19" s="695"/>
      <c r="Q19" s="680">
        <v>13</v>
      </c>
      <c r="R19" s="695">
        <v>11</v>
      </c>
      <c r="S19" s="680"/>
      <c r="T19" s="695"/>
      <c r="U19" s="680"/>
      <c r="V19" s="695"/>
      <c r="W19" s="680">
        <v>14</v>
      </c>
      <c r="X19" s="695"/>
      <c r="Y19" s="694"/>
      <c r="Z19" s="695"/>
      <c r="AA19" s="680"/>
      <c r="AB19" s="696"/>
      <c r="AC19" s="680"/>
      <c r="AD19" s="695"/>
      <c r="AE19" s="680"/>
      <c r="AF19" s="695"/>
      <c r="AG19" s="734"/>
      <c r="AH19" s="950"/>
      <c r="AI19" s="695"/>
      <c r="AJ19" s="680"/>
      <c r="AK19" s="695"/>
      <c r="AL19" s="707"/>
      <c r="AM19" s="695"/>
      <c r="AN19" s="692">
        <f t="shared" si="0"/>
        <v>64</v>
      </c>
    </row>
    <row r="20" spans="1:42" ht="20.100000000000001" customHeight="1" x14ac:dyDescent="0.25">
      <c r="A20" s="207">
        <v>10</v>
      </c>
      <c r="B20" s="726" t="s">
        <v>215</v>
      </c>
      <c r="C20" s="689"/>
      <c r="D20" s="691"/>
      <c r="E20" s="679"/>
      <c r="F20" s="691"/>
      <c r="G20" s="679">
        <v>16</v>
      </c>
      <c r="H20" s="691"/>
      <c r="I20" s="679">
        <v>11</v>
      </c>
      <c r="J20" s="693"/>
      <c r="K20" s="694"/>
      <c r="L20" s="695"/>
      <c r="M20" s="680"/>
      <c r="N20" s="695"/>
      <c r="O20" s="680"/>
      <c r="P20" s="695"/>
      <c r="Q20" s="680"/>
      <c r="R20" s="695"/>
      <c r="S20" s="680">
        <v>18</v>
      </c>
      <c r="T20" s="695"/>
      <c r="U20" s="680"/>
      <c r="V20" s="695"/>
      <c r="W20" s="680"/>
      <c r="X20" s="695"/>
      <c r="Y20" s="694"/>
      <c r="Z20" s="695"/>
      <c r="AA20" s="680"/>
      <c r="AB20" s="696"/>
      <c r="AC20" s="680"/>
      <c r="AD20" s="695"/>
      <c r="AE20" s="680"/>
      <c r="AF20" s="695"/>
      <c r="AG20" s="734"/>
      <c r="AH20" s="950"/>
      <c r="AI20" s="695"/>
      <c r="AJ20" s="680"/>
      <c r="AK20" s="695"/>
      <c r="AL20" s="707">
        <v>16</v>
      </c>
      <c r="AM20" s="695"/>
      <c r="AN20" s="692">
        <f t="shared" si="0"/>
        <v>61</v>
      </c>
    </row>
    <row r="21" spans="1:42" s="167" customFormat="1" ht="20.100000000000001" customHeight="1" x14ac:dyDescent="0.25">
      <c r="A21" s="207">
        <v>11</v>
      </c>
      <c r="B21" s="727" t="s">
        <v>809</v>
      </c>
      <c r="C21" s="689"/>
      <c r="D21" s="691"/>
      <c r="E21" s="679"/>
      <c r="F21" s="691"/>
      <c r="G21" s="679"/>
      <c r="H21" s="691"/>
      <c r="I21" s="679"/>
      <c r="J21" s="693"/>
      <c r="K21" s="694">
        <v>15</v>
      </c>
      <c r="L21" s="695"/>
      <c r="M21" s="680"/>
      <c r="N21" s="695"/>
      <c r="O21" s="680"/>
      <c r="P21" s="695"/>
      <c r="Q21" s="680"/>
      <c r="R21" s="695"/>
      <c r="S21" s="680">
        <v>15</v>
      </c>
      <c r="T21" s="695"/>
      <c r="U21" s="680"/>
      <c r="V21" s="695"/>
      <c r="W21" s="680"/>
      <c r="X21" s="695"/>
      <c r="Y21" s="694"/>
      <c r="Z21" s="695"/>
      <c r="AA21" s="680"/>
      <c r="AB21" s="696"/>
      <c r="AC21" s="680">
        <v>11</v>
      </c>
      <c r="AD21" s="695"/>
      <c r="AE21" s="680">
        <v>15</v>
      </c>
      <c r="AF21" s="695"/>
      <c r="AG21" s="734"/>
      <c r="AH21" s="950"/>
      <c r="AI21" s="695"/>
      <c r="AJ21" s="680"/>
      <c r="AK21" s="695"/>
      <c r="AL21" s="707"/>
      <c r="AM21" s="695"/>
      <c r="AN21" s="692">
        <f t="shared" si="0"/>
        <v>56</v>
      </c>
    </row>
    <row r="22" spans="1:42" ht="20.100000000000001" customHeight="1" x14ac:dyDescent="0.25">
      <c r="A22" s="207">
        <v>12</v>
      </c>
      <c r="B22" s="726" t="s">
        <v>447</v>
      </c>
      <c r="C22" s="933"/>
      <c r="D22" s="934"/>
      <c r="E22" s="935"/>
      <c r="F22" s="934"/>
      <c r="G22" s="935">
        <v>20</v>
      </c>
      <c r="H22" s="934"/>
      <c r="I22" s="935"/>
      <c r="J22" s="936"/>
      <c r="K22" s="937"/>
      <c r="L22" s="938"/>
      <c r="M22" s="939">
        <v>20</v>
      </c>
      <c r="N22" s="938"/>
      <c r="O22" s="939"/>
      <c r="P22" s="938"/>
      <c r="Q22" s="939"/>
      <c r="R22" s="938"/>
      <c r="S22" s="939"/>
      <c r="T22" s="938"/>
      <c r="U22" s="939">
        <v>13</v>
      </c>
      <c r="V22" s="938"/>
      <c r="W22" s="939"/>
      <c r="X22" s="938"/>
      <c r="Y22" s="937"/>
      <c r="Z22" s="938"/>
      <c r="AA22" s="939"/>
      <c r="AB22" s="940"/>
      <c r="AC22" s="939"/>
      <c r="AD22" s="938" t="s">
        <v>99</v>
      </c>
      <c r="AE22" s="939"/>
      <c r="AF22" s="938"/>
      <c r="AG22" s="941"/>
      <c r="AH22" s="952"/>
      <c r="AI22" s="938"/>
      <c r="AJ22" s="939"/>
      <c r="AK22" s="938"/>
      <c r="AL22" s="942"/>
      <c r="AM22" s="938"/>
      <c r="AN22" s="692">
        <f t="shared" si="0"/>
        <v>53</v>
      </c>
    </row>
    <row r="23" spans="1:42" ht="20.100000000000001" customHeight="1" x14ac:dyDescent="0.25">
      <c r="A23" s="207">
        <v>13</v>
      </c>
      <c r="B23" s="726" t="s">
        <v>445</v>
      </c>
      <c r="C23" s="689"/>
      <c r="D23" s="691"/>
      <c r="E23" s="679"/>
      <c r="F23" s="691"/>
      <c r="G23" s="679"/>
      <c r="H23" s="691"/>
      <c r="I23" s="679"/>
      <c r="J23" s="693"/>
      <c r="K23" s="694"/>
      <c r="L23" s="695"/>
      <c r="M23" s="680"/>
      <c r="N23" s="695"/>
      <c r="O23" s="680"/>
      <c r="P23" s="695"/>
      <c r="Q23" s="680"/>
      <c r="R23" s="695"/>
      <c r="S23" s="680"/>
      <c r="T23" s="695"/>
      <c r="U23" s="680"/>
      <c r="V23" s="695"/>
      <c r="W23" s="680"/>
      <c r="X23" s="695"/>
      <c r="Y23" s="694"/>
      <c r="Z23" s="695"/>
      <c r="AA23" s="680"/>
      <c r="AB23" s="696"/>
      <c r="AC23" s="680">
        <v>10</v>
      </c>
      <c r="AD23" s="695"/>
      <c r="AE23" s="680">
        <v>14</v>
      </c>
      <c r="AF23" s="695"/>
      <c r="AG23" s="734">
        <v>12</v>
      </c>
      <c r="AH23" s="950"/>
      <c r="AI23" s="695"/>
      <c r="AJ23" s="680">
        <v>14</v>
      </c>
      <c r="AK23" s="695"/>
      <c r="AL23" s="707"/>
      <c r="AM23" s="695"/>
      <c r="AN23" s="692">
        <f t="shared" si="0"/>
        <v>50</v>
      </c>
    </row>
    <row r="24" spans="1:42" ht="20.100000000000001" customHeight="1" x14ac:dyDescent="0.25">
      <c r="A24" s="207">
        <v>14</v>
      </c>
      <c r="B24" s="726" t="s">
        <v>172</v>
      </c>
      <c r="C24" s="689"/>
      <c r="D24" s="691"/>
      <c r="E24" s="679"/>
      <c r="F24" s="691"/>
      <c r="G24" s="679"/>
      <c r="H24" s="691"/>
      <c r="I24" s="679"/>
      <c r="J24" s="693"/>
      <c r="K24" s="694"/>
      <c r="L24" s="695"/>
      <c r="M24" s="680"/>
      <c r="N24" s="695"/>
      <c r="O24" s="680"/>
      <c r="P24" s="695"/>
      <c r="Q24" s="680"/>
      <c r="R24" s="695"/>
      <c r="S24" s="680"/>
      <c r="T24" s="695"/>
      <c r="U24" s="680"/>
      <c r="V24" s="695"/>
      <c r="W24" s="680"/>
      <c r="X24" s="695"/>
      <c r="Y24" s="694">
        <v>14</v>
      </c>
      <c r="Z24" s="695"/>
      <c r="AA24" s="680"/>
      <c r="AB24" s="696"/>
      <c r="AC24" s="680">
        <v>15</v>
      </c>
      <c r="AD24" s="695"/>
      <c r="AE24" s="680">
        <v>5</v>
      </c>
      <c r="AF24" s="695"/>
      <c r="AG24" s="734">
        <v>13</v>
      </c>
      <c r="AH24" s="950"/>
      <c r="AI24" s="695"/>
      <c r="AJ24" s="680"/>
      <c r="AK24" s="695"/>
      <c r="AL24" s="707"/>
      <c r="AM24" s="695"/>
      <c r="AN24" s="692">
        <f t="shared" si="0"/>
        <v>47</v>
      </c>
      <c r="AO24" s="208"/>
      <c r="AP24" s="208"/>
    </row>
    <row r="25" spans="1:42" ht="20.100000000000001" customHeight="1" x14ac:dyDescent="0.25">
      <c r="A25" s="207">
        <v>15</v>
      </c>
      <c r="B25" s="726" t="s">
        <v>719</v>
      </c>
      <c r="C25" s="689"/>
      <c r="D25" s="691"/>
      <c r="E25" s="679"/>
      <c r="F25" s="691"/>
      <c r="G25" s="679"/>
      <c r="H25" s="691"/>
      <c r="I25" s="679"/>
      <c r="J25" s="693"/>
      <c r="K25" s="694"/>
      <c r="L25" s="695"/>
      <c r="M25" s="680"/>
      <c r="N25" s="695"/>
      <c r="O25" s="680"/>
      <c r="P25" s="695"/>
      <c r="Q25" s="680"/>
      <c r="R25" s="695"/>
      <c r="S25" s="680"/>
      <c r="T25" s="695"/>
      <c r="U25" s="680"/>
      <c r="V25" s="695"/>
      <c r="W25" s="680">
        <v>10</v>
      </c>
      <c r="X25" s="695"/>
      <c r="Y25" s="694"/>
      <c r="Z25" s="695"/>
      <c r="AA25" s="680">
        <v>11</v>
      </c>
      <c r="AB25" s="696"/>
      <c r="AC25" s="680"/>
      <c r="AD25" s="695"/>
      <c r="AE25" s="680"/>
      <c r="AF25" s="695"/>
      <c r="AG25" s="734"/>
      <c r="AH25" s="950"/>
      <c r="AI25" s="695"/>
      <c r="AJ25" s="680">
        <v>13</v>
      </c>
      <c r="AK25" s="695">
        <v>11</v>
      </c>
      <c r="AL25" s="707"/>
      <c r="AM25" s="695"/>
      <c r="AN25" s="692">
        <f t="shared" si="0"/>
        <v>45</v>
      </c>
    </row>
    <row r="26" spans="1:42" ht="20.100000000000001" customHeight="1" x14ac:dyDescent="0.25">
      <c r="A26" s="207">
        <v>16</v>
      </c>
      <c r="B26" s="726" t="s">
        <v>765</v>
      </c>
      <c r="C26" s="689"/>
      <c r="D26" s="691"/>
      <c r="E26" s="679"/>
      <c r="F26" s="691"/>
      <c r="G26" s="679">
        <v>15</v>
      </c>
      <c r="H26" s="691"/>
      <c r="I26" s="679"/>
      <c r="J26" s="693"/>
      <c r="K26" s="694"/>
      <c r="L26" s="695"/>
      <c r="M26" s="680"/>
      <c r="N26" s="695"/>
      <c r="O26" s="680"/>
      <c r="P26" s="695"/>
      <c r="Q26" s="680"/>
      <c r="R26" s="695"/>
      <c r="S26" s="680"/>
      <c r="T26" s="695"/>
      <c r="U26" s="680"/>
      <c r="V26" s="695"/>
      <c r="W26" s="680"/>
      <c r="X26" s="695"/>
      <c r="Y26" s="694"/>
      <c r="Z26" s="695"/>
      <c r="AA26" s="680"/>
      <c r="AB26" s="696"/>
      <c r="AC26" s="680"/>
      <c r="AD26" s="695"/>
      <c r="AE26" s="680">
        <v>16</v>
      </c>
      <c r="AF26" s="695"/>
      <c r="AG26" s="734">
        <v>10</v>
      </c>
      <c r="AH26" s="950"/>
      <c r="AI26" s="695"/>
      <c r="AJ26" s="680"/>
      <c r="AK26" s="695"/>
      <c r="AL26" s="707"/>
      <c r="AM26" s="695"/>
      <c r="AN26" s="692">
        <f t="shared" si="0"/>
        <v>41</v>
      </c>
    </row>
    <row r="27" spans="1:42" ht="20.100000000000001" customHeight="1" x14ac:dyDescent="0.25">
      <c r="A27" s="207">
        <v>17</v>
      </c>
      <c r="B27" s="726" t="s">
        <v>152</v>
      </c>
      <c r="C27" s="689"/>
      <c r="D27" s="691"/>
      <c r="E27" s="679"/>
      <c r="F27" s="691"/>
      <c r="G27" s="679"/>
      <c r="H27" s="691"/>
      <c r="I27" s="679"/>
      <c r="J27" s="693"/>
      <c r="K27" s="694"/>
      <c r="L27" s="695"/>
      <c r="M27" s="680"/>
      <c r="N27" s="695"/>
      <c r="O27" s="680">
        <v>20</v>
      </c>
      <c r="P27" s="695"/>
      <c r="Q27" s="680">
        <v>20</v>
      </c>
      <c r="R27" s="695"/>
      <c r="S27" s="680"/>
      <c r="T27" s="695"/>
      <c r="U27" s="680"/>
      <c r="V27" s="695"/>
      <c r="W27" s="680"/>
      <c r="X27" s="695"/>
      <c r="Y27" s="694"/>
      <c r="Z27" s="695"/>
      <c r="AA27" s="680"/>
      <c r="AB27" s="696"/>
      <c r="AC27" s="680"/>
      <c r="AD27" s="695"/>
      <c r="AE27" s="680"/>
      <c r="AF27" s="695"/>
      <c r="AG27" s="734"/>
      <c r="AH27" s="950"/>
      <c r="AI27" s="695"/>
      <c r="AJ27" s="680"/>
      <c r="AK27" s="695"/>
      <c r="AL27" s="707"/>
      <c r="AM27" s="695"/>
      <c r="AN27" s="692">
        <f t="shared" si="0"/>
        <v>40</v>
      </c>
    </row>
    <row r="28" spans="1:42" ht="20.100000000000001" customHeight="1" x14ac:dyDescent="0.25">
      <c r="A28" s="207">
        <v>18</v>
      </c>
      <c r="B28" s="726" t="s">
        <v>147</v>
      </c>
      <c r="C28" s="689"/>
      <c r="D28" s="691"/>
      <c r="E28" s="679"/>
      <c r="F28" s="691"/>
      <c r="G28" s="679"/>
      <c r="H28" s="691"/>
      <c r="I28" s="679"/>
      <c r="J28" s="693"/>
      <c r="K28" s="694"/>
      <c r="L28" s="695"/>
      <c r="M28" s="680">
        <v>10</v>
      </c>
      <c r="N28" s="695"/>
      <c r="O28" s="680"/>
      <c r="P28" s="695"/>
      <c r="Q28" s="680"/>
      <c r="R28" s="695"/>
      <c r="S28" s="680"/>
      <c r="T28" s="695"/>
      <c r="U28" s="680">
        <v>20</v>
      </c>
      <c r="V28" s="695">
        <v>9</v>
      </c>
      <c r="W28" s="680"/>
      <c r="X28" s="695"/>
      <c r="Y28" s="694"/>
      <c r="Z28" s="695"/>
      <c r="AA28" s="680"/>
      <c r="AB28" s="696"/>
      <c r="AC28" s="680"/>
      <c r="AD28" s="695"/>
      <c r="AE28" s="680"/>
      <c r="AF28" s="695"/>
      <c r="AG28" s="735"/>
      <c r="AH28" s="951"/>
      <c r="AI28" s="695"/>
      <c r="AJ28" s="680"/>
      <c r="AK28" s="695"/>
      <c r="AL28" s="707"/>
      <c r="AM28" s="695"/>
      <c r="AN28" s="692">
        <f t="shared" si="0"/>
        <v>39</v>
      </c>
    </row>
    <row r="29" spans="1:42" ht="19.5" customHeight="1" x14ac:dyDescent="0.25">
      <c r="A29" s="207">
        <v>19</v>
      </c>
      <c r="B29" s="726" t="s">
        <v>237</v>
      </c>
      <c r="C29" s="689"/>
      <c r="D29" s="691"/>
      <c r="E29" s="679"/>
      <c r="F29" s="691"/>
      <c r="G29" s="679"/>
      <c r="H29" s="691"/>
      <c r="I29" s="679"/>
      <c r="J29" s="693"/>
      <c r="K29" s="694"/>
      <c r="L29" s="695"/>
      <c r="M29" s="680"/>
      <c r="N29" s="695"/>
      <c r="O29" s="680"/>
      <c r="P29" s="695"/>
      <c r="Q29" s="680"/>
      <c r="R29" s="695"/>
      <c r="S29" s="680">
        <v>9</v>
      </c>
      <c r="T29" s="695"/>
      <c r="U29" s="680"/>
      <c r="V29" s="695"/>
      <c r="W29" s="680"/>
      <c r="X29" s="695"/>
      <c r="Y29" s="694"/>
      <c r="Z29" s="695"/>
      <c r="AA29" s="680">
        <v>9</v>
      </c>
      <c r="AB29" s="696"/>
      <c r="AC29" s="680">
        <v>16</v>
      </c>
      <c r="AD29" s="695"/>
      <c r="AE29" s="680"/>
      <c r="AF29" s="695"/>
      <c r="AG29" s="735"/>
      <c r="AH29" s="951"/>
      <c r="AI29" s="695"/>
      <c r="AJ29" s="680"/>
      <c r="AK29" s="695"/>
      <c r="AL29" s="707"/>
      <c r="AM29" s="695"/>
      <c r="AN29" s="692">
        <f t="shared" si="0"/>
        <v>34</v>
      </c>
    </row>
    <row r="30" spans="1:42" ht="20.100000000000001" customHeight="1" x14ac:dyDescent="0.25">
      <c r="A30" s="207">
        <v>20</v>
      </c>
      <c r="B30" s="726" t="s">
        <v>166</v>
      </c>
      <c r="C30" s="689"/>
      <c r="D30" s="691"/>
      <c r="E30" s="679"/>
      <c r="F30" s="691"/>
      <c r="G30" s="679"/>
      <c r="H30" s="691"/>
      <c r="I30" s="679"/>
      <c r="J30" s="693"/>
      <c r="K30" s="694"/>
      <c r="L30" s="696"/>
      <c r="M30" s="680">
        <v>9</v>
      </c>
      <c r="N30" s="695"/>
      <c r="O30" s="680"/>
      <c r="P30" s="695"/>
      <c r="Q30" s="680"/>
      <c r="R30" s="695"/>
      <c r="S30" s="680"/>
      <c r="T30" s="695"/>
      <c r="U30" s="680"/>
      <c r="V30" s="695"/>
      <c r="W30" s="680"/>
      <c r="X30" s="695"/>
      <c r="Y30" s="694"/>
      <c r="Z30" s="695"/>
      <c r="AA30" s="680"/>
      <c r="AB30" s="696"/>
      <c r="AC30" s="680"/>
      <c r="AD30" s="695"/>
      <c r="AE30" s="680"/>
      <c r="AF30" s="695"/>
      <c r="AG30" s="734">
        <v>20</v>
      </c>
      <c r="AH30" s="950"/>
      <c r="AI30" s="695"/>
      <c r="AJ30" s="680"/>
      <c r="AK30" s="695"/>
      <c r="AL30" s="707"/>
      <c r="AM30" s="695"/>
      <c r="AN30" s="692">
        <f>SUM(C30:AM30)</f>
        <v>29</v>
      </c>
    </row>
    <row r="31" spans="1:42" ht="20.100000000000001" customHeight="1" x14ac:dyDescent="0.2">
      <c r="A31" s="207">
        <v>21</v>
      </c>
      <c r="B31" s="729" t="s">
        <v>130</v>
      </c>
      <c r="C31" s="689"/>
      <c r="D31" s="691"/>
      <c r="E31" s="679"/>
      <c r="F31" s="691"/>
      <c r="G31" s="679"/>
      <c r="H31" s="691"/>
      <c r="I31" s="679">
        <v>16</v>
      </c>
      <c r="J31" s="693"/>
      <c r="K31" s="694">
        <v>13</v>
      </c>
      <c r="L31" s="695"/>
      <c r="M31" s="680"/>
      <c r="N31" s="695"/>
      <c r="O31" s="680"/>
      <c r="P31" s="695"/>
      <c r="Q31" s="680"/>
      <c r="R31" s="695"/>
      <c r="S31" s="680"/>
      <c r="T31" s="695"/>
      <c r="U31" s="680"/>
      <c r="V31" s="695"/>
      <c r="W31" s="680"/>
      <c r="X31" s="695"/>
      <c r="Y31" s="694"/>
      <c r="Z31" s="695"/>
      <c r="AA31" s="680"/>
      <c r="AB31" s="696"/>
      <c r="AC31" s="680"/>
      <c r="AD31" s="695"/>
      <c r="AE31" s="680"/>
      <c r="AF31" s="695"/>
      <c r="AG31" s="734"/>
      <c r="AH31" s="950"/>
      <c r="AI31" s="695"/>
      <c r="AJ31" s="680"/>
      <c r="AK31" s="695"/>
      <c r="AL31" s="707"/>
      <c r="AM31" s="695"/>
      <c r="AN31" s="692">
        <f>SUM(C31:AM31)</f>
        <v>29</v>
      </c>
    </row>
    <row r="32" spans="1:42" ht="20.100000000000001" customHeight="1" x14ac:dyDescent="0.25">
      <c r="A32" s="207">
        <v>22</v>
      </c>
      <c r="B32" s="726" t="s">
        <v>519</v>
      </c>
      <c r="C32" s="689"/>
      <c r="D32" s="691"/>
      <c r="E32" s="679"/>
      <c r="F32" s="691"/>
      <c r="G32" s="679"/>
      <c r="H32" s="691"/>
      <c r="I32" s="679">
        <v>10</v>
      </c>
      <c r="J32" s="693"/>
      <c r="K32" s="694"/>
      <c r="L32" s="695"/>
      <c r="M32" s="680"/>
      <c r="N32" s="695"/>
      <c r="O32" s="680"/>
      <c r="P32" s="695"/>
      <c r="Q32" s="680"/>
      <c r="R32" s="695"/>
      <c r="S32" s="680"/>
      <c r="T32" s="695"/>
      <c r="U32" s="680"/>
      <c r="V32" s="695"/>
      <c r="W32" s="680"/>
      <c r="X32" s="695"/>
      <c r="Y32" s="694"/>
      <c r="Z32" s="695"/>
      <c r="AA32" s="680">
        <v>10</v>
      </c>
      <c r="AB32" s="696"/>
      <c r="AC32" s="680"/>
      <c r="AD32" s="695"/>
      <c r="AE32" s="680"/>
      <c r="AF32" s="695"/>
      <c r="AG32" s="734"/>
      <c r="AH32" s="950"/>
      <c r="AI32" s="695"/>
      <c r="AJ32" s="680">
        <v>9</v>
      </c>
      <c r="AK32" s="695"/>
      <c r="AL32" s="707"/>
      <c r="AM32" s="695"/>
      <c r="AN32" s="692">
        <f>SUM(C32:AM32)</f>
        <v>29</v>
      </c>
    </row>
    <row r="33" spans="1:42" ht="20.100000000000001" customHeight="1" x14ac:dyDescent="0.25">
      <c r="A33" s="207">
        <v>23</v>
      </c>
      <c r="B33" s="726" t="s">
        <v>149</v>
      </c>
      <c r="C33" s="689"/>
      <c r="D33" s="691"/>
      <c r="E33" s="679"/>
      <c r="F33" s="691"/>
      <c r="G33" s="679"/>
      <c r="H33" s="691"/>
      <c r="I33" s="679"/>
      <c r="J33" s="693"/>
      <c r="K33" s="694"/>
      <c r="L33" s="695"/>
      <c r="M33" s="680"/>
      <c r="N33" s="695"/>
      <c r="O33" s="680"/>
      <c r="P33" s="695"/>
      <c r="Q33" s="680"/>
      <c r="R33" s="695"/>
      <c r="S33" s="680"/>
      <c r="T33" s="695"/>
      <c r="U33" s="680"/>
      <c r="V33" s="695"/>
      <c r="W33" s="680">
        <v>15</v>
      </c>
      <c r="X33" s="695"/>
      <c r="Y33" s="694">
        <v>13</v>
      </c>
      <c r="Z33" s="695"/>
      <c r="AA33" s="680"/>
      <c r="AB33" s="696"/>
      <c r="AC33" s="680"/>
      <c r="AD33" s="695"/>
      <c r="AE33" s="680"/>
      <c r="AF33" s="695"/>
      <c r="AG33" s="734"/>
      <c r="AH33" s="950"/>
      <c r="AI33" s="695"/>
      <c r="AJ33" s="680"/>
      <c r="AK33" s="695"/>
      <c r="AL33" s="707"/>
      <c r="AM33" s="695"/>
      <c r="AN33" s="692">
        <f t="shared" si="0"/>
        <v>28</v>
      </c>
    </row>
    <row r="34" spans="1:42" ht="20.100000000000001" customHeight="1" x14ac:dyDescent="0.25">
      <c r="A34" s="207">
        <v>24</v>
      </c>
      <c r="B34" s="726" t="s">
        <v>292</v>
      </c>
      <c r="C34" s="694"/>
      <c r="D34" s="696"/>
      <c r="E34" s="680"/>
      <c r="F34" s="696"/>
      <c r="G34" s="680"/>
      <c r="H34" s="696"/>
      <c r="I34" s="680"/>
      <c r="J34" s="697"/>
      <c r="K34" s="694"/>
      <c r="L34" s="695"/>
      <c r="M34" s="680"/>
      <c r="N34" s="695"/>
      <c r="O34" s="680"/>
      <c r="P34" s="695"/>
      <c r="Q34" s="680">
        <v>7</v>
      </c>
      <c r="R34" s="695"/>
      <c r="S34" s="680"/>
      <c r="T34" s="695"/>
      <c r="U34" s="680"/>
      <c r="V34" s="695"/>
      <c r="W34" s="680"/>
      <c r="X34" s="695"/>
      <c r="Y34" s="694"/>
      <c r="Z34" s="695"/>
      <c r="AA34" s="680"/>
      <c r="AB34" s="696"/>
      <c r="AC34" s="680"/>
      <c r="AD34" s="695"/>
      <c r="AE34" s="680"/>
      <c r="AF34" s="695"/>
      <c r="AG34" s="734"/>
      <c r="AH34" s="950"/>
      <c r="AI34" s="695"/>
      <c r="AJ34" s="680"/>
      <c r="AK34" s="695"/>
      <c r="AL34" s="707">
        <v>18</v>
      </c>
      <c r="AM34" s="695"/>
      <c r="AN34" s="692">
        <f t="shared" si="0"/>
        <v>25</v>
      </c>
    </row>
    <row r="35" spans="1:42" ht="20.100000000000001" customHeight="1" x14ac:dyDescent="0.25">
      <c r="A35" s="207">
        <v>25</v>
      </c>
      <c r="B35" s="726" t="s">
        <v>344</v>
      </c>
      <c r="C35" s="694"/>
      <c r="D35" s="696"/>
      <c r="E35" s="680"/>
      <c r="F35" s="696"/>
      <c r="G35" s="680"/>
      <c r="H35" s="696"/>
      <c r="I35" s="680"/>
      <c r="J35" s="697"/>
      <c r="K35" s="694"/>
      <c r="L35" s="695"/>
      <c r="M35" s="680"/>
      <c r="N35" s="695"/>
      <c r="O35" s="680"/>
      <c r="P35" s="695"/>
      <c r="Q35" s="680"/>
      <c r="R35" s="695"/>
      <c r="S35" s="680"/>
      <c r="T35" s="695"/>
      <c r="U35" s="680"/>
      <c r="V35" s="695"/>
      <c r="W35" s="680"/>
      <c r="X35" s="695"/>
      <c r="Y35" s="694"/>
      <c r="Z35" s="695"/>
      <c r="AA35" s="680"/>
      <c r="AB35" s="696"/>
      <c r="AC35" s="680"/>
      <c r="AD35" s="695"/>
      <c r="AE35" s="680">
        <v>20</v>
      </c>
      <c r="AF35" s="695"/>
      <c r="AG35" s="734"/>
      <c r="AH35" s="950"/>
      <c r="AI35" s="695"/>
      <c r="AJ35" s="680"/>
      <c r="AK35" s="695"/>
      <c r="AL35" s="707"/>
      <c r="AM35" s="695"/>
      <c r="AN35" s="692">
        <f t="shared" si="0"/>
        <v>20</v>
      </c>
    </row>
    <row r="36" spans="1:42" ht="20.100000000000001" customHeight="1" x14ac:dyDescent="0.25">
      <c r="A36" s="207">
        <v>26</v>
      </c>
      <c r="B36" s="726" t="s">
        <v>145</v>
      </c>
      <c r="C36" s="694"/>
      <c r="D36" s="696"/>
      <c r="E36" s="680"/>
      <c r="F36" s="696"/>
      <c r="G36" s="680"/>
      <c r="H36" s="696"/>
      <c r="I36" s="680"/>
      <c r="J36" s="697"/>
      <c r="K36" s="694"/>
      <c r="L36" s="695"/>
      <c r="M36" s="680"/>
      <c r="N36" s="695"/>
      <c r="O36" s="680"/>
      <c r="P36" s="695"/>
      <c r="Q36" s="680">
        <v>18</v>
      </c>
      <c r="R36" s="695"/>
      <c r="S36" s="680"/>
      <c r="T36" s="695"/>
      <c r="U36" s="680"/>
      <c r="V36" s="695"/>
      <c r="W36" s="680"/>
      <c r="X36" s="695"/>
      <c r="Y36" s="694"/>
      <c r="Z36" s="695"/>
      <c r="AA36" s="680"/>
      <c r="AB36" s="696"/>
      <c r="AC36" s="680"/>
      <c r="AD36" s="695"/>
      <c r="AE36" s="680"/>
      <c r="AF36" s="695"/>
      <c r="AG36" s="954"/>
      <c r="AH36" s="954"/>
      <c r="AI36" s="695"/>
      <c r="AJ36" s="680"/>
      <c r="AK36" s="695"/>
      <c r="AL36" s="707"/>
      <c r="AM36" s="695"/>
      <c r="AN36" s="692">
        <f t="shared" si="0"/>
        <v>18</v>
      </c>
    </row>
    <row r="37" spans="1:42" ht="20.100000000000001" customHeight="1" x14ac:dyDescent="0.25">
      <c r="A37" s="207" t="s">
        <v>878</v>
      </c>
      <c r="B37" s="726" t="s">
        <v>388</v>
      </c>
      <c r="C37" s="694"/>
      <c r="D37" s="696"/>
      <c r="E37" s="680"/>
      <c r="F37" s="696"/>
      <c r="G37" s="680"/>
      <c r="H37" s="696"/>
      <c r="I37" s="680"/>
      <c r="J37" s="697"/>
      <c r="K37" s="694"/>
      <c r="L37" s="695"/>
      <c r="M37" s="680"/>
      <c r="N37" s="695"/>
      <c r="O37" s="680"/>
      <c r="P37" s="695"/>
      <c r="Q37" s="680"/>
      <c r="R37" s="695"/>
      <c r="S37" s="680">
        <v>16</v>
      </c>
      <c r="T37" s="695"/>
      <c r="U37" s="680"/>
      <c r="V37" s="695"/>
      <c r="W37" s="680"/>
      <c r="X37" s="695"/>
      <c r="Y37" s="694"/>
      <c r="Z37" s="695"/>
      <c r="AA37" s="680"/>
      <c r="AB37" s="696"/>
      <c r="AC37" s="680"/>
      <c r="AD37" s="695"/>
      <c r="AE37" s="680"/>
      <c r="AF37" s="695"/>
      <c r="AG37" s="734"/>
      <c r="AH37" s="950"/>
      <c r="AI37" s="695"/>
      <c r="AJ37" s="680"/>
      <c r="AK37" s="695"/>
      <c r="AL37" s="707"/>
      <c r="AM37" s="695"/>
      <c r="AN37" s="692">
        <f t="shared" si="0"/>
        <v>16</v>
      </c>
      <c r="AO37" s="208"/>
      <c r="AP37" s="208"/>
    </row>
    <row r="38" spans="1:42" ht="19.5" customHeight="1" x14ac:dyDescent="0.25">
      <c r="A38" s="207" t="s">
        <v>878</v>
      </c>
      <c r="B38" s="726" t="s">
        <v>561</v>
      </c>
      <c r="C38" s="694">
        <v>16</v>
      </c>
      <c r="D38" s="696"/>
      <c r="E38" s="680"/>
      <c r="F38" s="696"/>
      <c r="G38" s="680"/>
      <c r="H38" s="696"/>
      <c r="I38" s="680"/>
      <c r="J38" s="697"/>
      <c r="K38" s="694"/>
      <c r="L38" s="695"/>
      <c r="M38" s="680"/>
      <c r="N38" s="695"/>
      <c r="O38" s="680"/>
      <c r="P38" s="695"/>
      <c r="Q38" s="680"/>
      <c r="R38" s="695"/>
      <c r="S38" s="680"/>
      <c r="T38" s="695"/>
      <c r="U38" s="680"/>
      <c r="V38" s="695"/>
      <c r="W38" s="680"/>
      <c r="X38" s="695"/>
      <c r="Y38" s="694"/>
      <c r="Z38" s="695"/>
      <c r="AA38" s="680"/>
      <c r="AB38" s="696"/>
      <c r="AC38" s="680"/>
      <c r="AD38" s="695"/>
      <c r="AE38" s="680"/>
      <c r="AF38" s="695"/>
      <c r="AG38" s="734"/>
      <c r="AH38" s="950"/>
      <c r="AI38" s="695"/>
      <c r="AJ38" s="680"/>
      <c r="AK38" s="695"/>
      <c r="AL38" s="707"/>
      <c r="AM38" s="695"/>
      <c r="AN38" s="692">
        <f t="shared" si="0"/>
        <v>16</v>
      </c>
    </row>
    <row r="39" spans="1:42" ht="20.100000000000001" customHeight="1" x14ac:dyDescent="0.25">
      <c r="A39" s="207">
        <v>29</v>
      </c>
      <c r="B39" s="726" t="s">
        <v>525</v>
      </c>
      <c r="C39" s="694"/>
      <c r="D39" s="696"/>
      <c r="E39" s="680"/>
      <c r="F39" s="696"/>
      <c r="G39" s="680"/>
      <c r="H39" s="696"/>
      <c r="I39" s="680"/>
      <c r="J39" s="697"/>
      <c r="K39" s="694"/>
      <c r="L39" s="695"/>
      <c r="M39" s="680"/>
      <c r="N39" s="695"/>
      <c r="O39" s="680"/>
      <c r="P39" s="695"/>
      <c r="Q39" s="680"/>
      <c r="R39" s="695"/>
      <c r="S39" s="680"/>
      <c r="T39" s="695"/>
      <c r="U39" s="680">
        <v>15</v>
      </c>
      <c r="V39" s="695"/>
      <c r="W39" s="680"/>
      <c r="X39" s="695"/>
      <c r="Y39" s="694"/>
      <c r="Z39" s="695"/>
      <c r="AA39" s="680"/>
      <c r="AB39" s="696"/>
      <c r="AC39" s="680"/>
      <c r="AD39" s="695"/>
      <c r="AE39" s="680"/>
      <c r="AF39" s="695"/>
      <c r="AG39" s="734"/>
      <c r="AH39" s="950"/>
      <c r="AI39" s="695"/>
      <c r="AJ39" s="680"/>
      <c r="AK39" s="695"/>
      <c r="AL39" s="707"/>
      <c r="AM39" s="695"/>
      <c r="AN39" s="692">
        <f t="shared" si="0"/>
        <v>15</v>
      </c>
    </row>
    <row r="40" spans="1:42" ht="20.100000000000001" customHeight="1" x14ac:dyDescent="0.25">
      <c r="A40" s="207" t="s">
        <v>879</v>
      </c>
      <c r="B40" s="726" t="s">
        <v>140</v>
      </c>
      <c r="C40" s="694"/>
      <c r="D40" s="696"/>
      <c r="E40" s="680"/>
      <c r="F40" s="696"/>
      <c r="G40" s="680"/>
      <c r="H40" s="696"/>
      <c r="I40" s="680"/>
      <c r="J40" s="697"/>
      <c r="K40" s="694"/>
      <c r="L40" s="695"/>
      <c r="M40" s="680"/>
      <c r="N40" s="695"/>
      <c r="O40" s="680"/>
      <c r="P40" s="695"/>
      <c r="Q40" s="680"/>
      <c r="R40" s="695"/>
      <c r="S40" s="680"/>
      <c r="T40" s="695"/>
      <c r="U40" s="680"/>
      <c r="V40" s="695"/>
      <c r="W40" s="680"/>
      <c r="X40" s="695"/>
      <c r="Y40" s="694"/>
      <c r="Z40" s="695"/>
      <c r="AA40" s="680"/>
      <c r="AB40" s="696"/>
      <c r="AC40" s="680"/>
      <c r="AD40" s="695"/>
      <c r="AE40" s="680"/>
      <c r="AF40" s="695"/>
      <c r="AG40" s="734"/>
      <c r="AH40" s="950"/>
      <c r="AI40" s="695"/>
      <c r="AJ40" s="680"/>
      <c r="AK40" s="695"/>
      <c r="AL40" s="707">
        <v>12</v>
      </c>
      <c r="AM40" s="695"/>
      <c r="AN40" s="692">
        <f t="shared" si="0"/>
        <v>12</v>
      </c>
    </row>
    <row r="41" spans="1:42" ht="20.100000000000001" customHeight="1" x14ac:dyDescent="0.25">
      <c r="A41" s="207" t="s">
        <v>879</v>
      </c>
      <c r="B41" s="726" t="s">
        <v>331</v>
      </c>
      <c r="C41" s="694"/>
      <c r="D41" s="696"/>
      <c r="E41" s="680"/>
      <c r="F41" s="696"/>
      <c r="G41" s="680"/>
      <c r="H41" s="696"/>
      <c r="I41" s="680"/>
      <c r="J41" s="697"/>
      <c r="K41" s="694"/>
      <c r="L41" s="695"/>
      <c r="M41" s="680"/>
      <c r="N41" s="695"/>
      <c r="O41" s="680"/>
      <c r="P41" s="695"/>
      <c r="Q41" s="680"/>
      <c r="R41" s="695"/>
      <c r="S41" s="680"/>
      <c r="T41" s="695"/>
      <c r="U41" s="680"/>
      <c r="V41" s="695"/>
      <c r="W41" s="680"/>
      <c r="X41" s="695"/>
      <c r="Y41" s="694"/>
      <c r="Z41" s="695"/>
      <c r="AA41" s="680"/>
      <c r="AB41" s="696"/>
      <c r="AC41" s="680"/>
      <c r="AD41" s="695"/>
      <c r="AE41" s="680">
        <v>12</v>
      </c>
      <c r="AF41" s="695"/>
      <c r="AG41" s="734"/>
      <c r="AH41" s="950"/>
      <c r="AI41" s="695"/>
      <c r="AJ41" s="680"/>
      <c r="AK41" s="695"/>
      <c r="AL41" s="707"/>
      <c r="AM41" s="695"/>
      <c r="AN41" s="692">
        <f t="shared" si="0"/>
        <v>12</v>
      </c>
    </row>
    <row r="42" spans="1:42" ht="18.600000000000001" customHeight="1" x14ac:dyDescent="0.25">
      <c r="A42" s="207">
        <v>32</v>
      </c>
      <c r="B42" s="726" t="s">
        <v>300</v>
      </c>
      <c r="C42" s="694"/>
      <c r="D42" s="696"/>
      <c r="E42" s="680"/>
      <c r="F42" s="696"/>
      <c r="G42" s="680"/>
      <c r="H42" s="696"/>
      <c r="I42" s="680"/>
      <c r="J42" s="697"/>
      <c r="K42" s="694"/>
      <c r="L42" s="695"/>
      <c r="M42" s="680"/>
      <c r="N42" s="695"/>
      <c r="O42" s="680"/>
      <c r="P42" s="695"/>
      <c r="Q42" s="680"/>
      <c r="R42" s="695"/>
      <c r="S42" s="680"/>
      <c r="T42" s="695"/>
      <c r="U42" s="680">
        <v>11</v>
      </c>
      <c r="V42" s="695"/>
      <c r="W42" s="680"/>
      <c r="X42" s="695"/>
      <c r="Y42" s="694"/>
      <c r="Z42" s="695"/>
      <c r="AA42" s="680"/>
      <c r="AB42" s="696"/>
      <c r="AC42" s="680"/>
      <c r="AD42" s="695"/>
      <c r="AE42" s="680"/>
      <c r="AF42" s="695"/>
      <c r="AG42" s="734"/>
      <c r="AH42" s="950"/>
      <c r="AI42" s="695"/>
      <c r="AJ42" s="680"/>
      <c r="AK42" s="695"/>
      <c r="AL42" s="707"/>
      <c r="AM42" s="695"/>
      <c r="AN42" s="692">
        <f t="shared" si="0"/>
        <v>11</v>
      </c>
    </row>
    <row r="43" spans="1:42" ht="15.75" customHeight="1" x14ac:dyDescent="0.25">
      <c r="A43" s="207" t="s">
        <v>880</v>
      </c>
      <c r="B43" s="726" t="s">
        <v>440</v>
      </c>
      <c r="C43" s="694"/>
      <c r="D43" s="696"/>
      <c r="E43" s="680"/>
      <c r="F43" s="696"/>
      <c r="G43" s="680"/>
      <c r="H43" s="696"/>
      <c r="I43" s="680"/>
      <c r="J43" s="697"/>
      <c r="K43" s="694"/>
      <c r="L43" s="695"/>
      <c r="M43" s="680"/>
      <c r="N43" s="695"/>
      <c r="O43" s="680"/>
      <c r="P43" s="695"/>
      <c r="Q43" s="680"/>
      <c r="R43" s="695"/>
      <c r="S43" s="680"/>
      <c r="T43" s="695"/>
      <c r="U43" s="680"/>
      <c r="V43" s="695"/>
      <c r="W43" s="680"/>
      <c r="X43" s="695"/>
      <c r="Y43" s="694"/>
      <c r="Z43" s="695"/>
      <c r="AA43" s="680"/>
      <c r="AB43" s="696"/>
      <c r="AC43" s="680"/>
      <c r="AD43" s="695"/>
      <c r="AE43" s="680"/>
      <c r="AF43" s="695"/>
      <c r="AG43" s="734"/>
      <c r="AH43" s="950"/>
      <c r="AI43" s="695"/>
      <c r="AJ43" s="680"/>
      <c r="AK43" s="695"/>
      <c r="AL43" s="707"/>
      <c r="AM43" s="695"/>
      <c r="AN43" s="692">
        <f t="shared" si="0"/>
        <v>0</v>
      </c>
    </row>
    <row r="44" spans="1:42" ht="15.75" customHeight="1" x14ac:dyDescent="0.25">
      <c r="A44" s="207" t="s">
        <v>880</v>
      </c>
      <c r="B44" s="726" t="s">
        <v>205</v>
      </c>
      <c r="C44" s="694"/>
      <c r="D44" s="696"/>
      <c r="E44" s="680"/>
      <c r="F44" s="696"/>
      <c r="G44" s="680"/>
      <c r="H44" s="696"/>
      <c r="I44" s="680"/>
      <c r="J44" s="697"/>
      <c r="K44" s="694"/>
      <c r="L44" s="695"/>
      <c r="M44" s="680"/>
      <c r="N44" s="695"/>
      <c r="O44" s="680"/>
      <c r="P44" s="695"/>
      <c r="Q44" s="680"/>
      <c r="R44" s="695"/>
      <c r="S44" s="680"/>
      <c r="T44" s="695"/>
      <c r="U44" s="680"/>
      <c r="V44" s="695"/>
      <c r="W44" s="680"/>
      <c r="X44" s="695"/>
      <c r="Y44" s="694"/>
      <c r="Z44" s="695"/>
      <c r="AA44" s="680"/>
      <c r="AB44" s="696"/>
      <c r="AC44" s="680"/>
      <c r="AD44" s="695"/>
      <c r="AE44" s="680"/>
      <c r="AF44" s="695"/>
      <c r="AG44" s="734"/>
      <c r="AH44" s="950"/>
      <c r="AI44" s="695"/>
      <c r="AJ44" s="680"/>
      <c r="AK44" s="695"/>
      <c r="AL44" s="707"/>
      <c r="AM44" s="695"/>
      <c r="AN44" s="692">
        <f t="shared" si="0"/>
        <v>0</v>
      </c>
    </row>
    <row r="45" spans="1:42" ht="17.45" customHeight="1" x14ac:dyDescent="0.25">
      <c r="A45" s="207" t="s">
        <v>880</v>
      </c>
      <c r="B45" s="726" t="s">
        <v>497</v>
      </c>
      <c r="C45" s="694"/>
      <c r="D45" s="696"/>
      <c r="E45" s="680"/>
      <c r="F45" s="696"/>
      <c r="G45" s="680"/>
      <c r="H45" s="696"/>
      <c r="I45" s="680"/>
      <c r="J45" s="697"/>
      <c r="K45" s="694"/>
      <c r="L45" s="695"/>
      <c r="M45" s="680"/>
      <c r="N45" s="695"/>
      <c r="O45" s="680"/>
      <c r="P45" s="695"/>
      <c r="Q45" s="680"/>
      <c r="R45" s="695"/>
      <c r="S45" s="680"/>
      <c r="T45" s="695"/>
      <c r="U45" s="680"/>
      <c r="V45" s="695"/>
      <c r="W45" s="680"/>
      <c r="X45" s="695"/>
      <c r="Y45" s="694"/>
      <c r="Z45" s="695"/>
      <c r="AA45" s="680"/>
      <c r="AB45" s="696"/>
      <c r="AC45" s="680"/>
      <c r="AD45" s="695"/>
      <c r="AE45" s="680"/>
      <c r="AF45" s="695"/>
      <c r="AG45" s="734"/>
      <c r="AH45" s="950"/>
      <c r="AI45" s="695"/>
      <c r="AJ45" s="680"/>
      <c r="AK45" s="695"/>
      <c r="AL45" s="707"/>
      <c r="AM45" s="695"/>
      <c r="AN45" s="692">
        <f t="shared" si="0"/>
        <v>0</v>
      </c>
    </row>
    <row r="46" spans="1:42" ht="16.899999999999999" customHeight="1" x14ac:dyDescent="0.25">
      <c r="A46" s="207" t="s">
        <v>880</v>
      </c>
      <c r="B46" s="726" t="s">
        <v>403</v>
      </c>
      <c r="C46" s="694"/>
      <c r="D46" s="696"/>
      <c r="E46" s="680"/>
      <c r="F46" s="696"/>
      <c r="G46" s="680"/>
      <c r="H46" s="696"/>
      <c r="I46" s="680"/>
      <c r="J46" s="697"/>
      <c r="K46" s="694"/>
      <c r="L46" s="695"/>
      <c r="M46" s="680"/>
      <c r="N46" s="695"/>
      <c r="O46" s="680"/>
      <c r="P46" s="695"/>
      <c r="Q46" s="680"/>
      <c r="R46" s="695"/>
      <c r="S46" s="680"/>
      <c r="T46" s="695"/>
      <c r="U46" s="680"/>
      <c r="V46" s="695"/>
      <c r="W46" s="680"/>
      <c r="X46" s="695"/>
      <c r="Y46" s="694"/>
      <c r="Z46" s="695"/>
      <c r="AA46" s="680"/>
      <c r="AB46" s="696"/>
      <c r="AC46" s="680"/>
      <c r="AD46" s="695"/>
      <c r="AE46" s="680"/>
      <c r="AF46" s="695"/>
      <c r="AG46" s="734"/>
      <c r="AH46" s="950"/>
      <c r="AI46" s="695"/>
      <c r="AJ46" s="680"/>
      <c r="AK46" s="695"/>
      <c r="AL46" s="707"/>
      <c r="AM46" s="695"/>
      <c r="AN46" s="692">
        <f t="shared" si="0"/>
        <v>0</v>
      </c>
    </row>
    <row r="47" spans="1:42" ht="18.600000000000001" customHeight="1" x14ac:dyDescent="0.25">
      <c r="A47" s="207" t="s">
        <v>880</v>
      </c>
      <c r="B47" s="726" t="s">
        <v>271</v>
      </c>
      <c r="C47" s="694"/>
      <c r="D47" s="696"/>
      <c r="E47" s="680"/>
      <c r="F47" s="696"/>
      <c r="G47" s="680"/>
      <c r="H47" s="696"/>
      <c r="I47" s="680"/>
      <c r="J47" s="697"/>
      <c r="K47" s="694"/>
      <c r="L47" s="695"/>
      <c r="M47" s="680"/>
      <c r="N47" s="695"/>
      <c r="O47" s="680"/>
      <c r="P47" s="695"/>
      <c r="Q47" s="680"/>
      <c r="R47" s="695"/>
      <c r="S47" s="680"/>
      <c r="T47" s="695"/>
      <c r="U47" s="680"/>
      <c r="V47" s="695"/>
      <c r="W47" s="680"/>
      <c r="X47" s="695"/>
      <c r="Y47" s="694"/>
      <c r="Z47" s="695"/>
      <c r="AA47" s="680"/>
      <c r="AB47" s="696"/>
      <c r="AC47" s="680"/>
      <c r="AD47" s="695"/>
      <c r="AE47" s="680"/>
      <c r="AF47" s="695"/>
      <c r="AG47" s="734"/>
      <c r="AH47" s="950"/>
      <c r="AI47" s="695"/>
      <c r="AJ47" s="680"/>
      <c r="AK47" s="695"/>
      <c r="AL47" s="707"/>
      <c r="AM47" s="695"/>
      <c r="AN47" s="692">
        <f t="shared" si="0"/>
        <v>0</v>
      </c>
    </row>
    <row r="48" spans="1:42" ht="18.600000000000001" customHeight="1" x14ac:dyDescent="0.25">
      <c r="A48" s="207" t="s">
        <v>880</v>
      </c>
      <c r="B48" s="726" t="s">
        <v>486</v>
      </c>
      <c r="C48" s="694"/>
      <c r="D48" s="696"/>
      <c r="E48" s="680"/>
      <c r="F48" s="696"/>
      <c r="G48" s="680"/>
      <c r="H48" s="696"/>
      <c r="I48" s="680"/>
      <c r="J48" s="697"/>
      <c r="K48" s="694"/>
      <c r="L48" s="695"/>
      <c r="M48" s="680"/>
      <c r="N48" s="695"/>
      <c r="O48" s="680"/>
      <c r="P48" s="695"/>
      <c r="Q48" s="680"/>
      <c r="R48" s="695"/>
      <c r="S48" s="680"/>
      <c r="T48" s="695"/>
      <c r="U48" s="680"/>
      <c r="V48" s="695"/>
      <c r="W48" s="680"/>
      <c r="X48" s="695"/>
      <c r="Y48" s="694"/>
      <c r="Z48" s="695"/>
      <c r="AA48" s="680"/>
      <c r="AB48" s="696"/>
      <c r="AC48" s="680"/>
      <c r="AD48" s="695"/>
      <c r="AE48" s="680"/>
      <c r="AF48" s="695"/>
      <c r="AG48" s="734"/>
      <c r="AH48" s="950"/>
      <c r="AI48" s="695"/>
      <c r="AJ48" s="680"/>
      <c r="AK48" s="695"/>
      <c r="AL48" s="707"/>
      <c r="AM48" s="695"/>
      <c r="AN48" s="692">
        <f t="shared" si="0"/>
        <v>0</v>
      </c>
    </row>
    <row r="49" spans="1:42" ht="16.899999999999999" customHeight="1" x14ac:dyDescent="0.25">
      <c r="A49" s="207" t="s">
        <v>880</v>
      </c>
      <c r="B49" s="726" t="s">
        <v>522</v>
      </c>
      <c r="C49" s="694"/>
      <c r="D49" s="696"/>
      <c r="E49" s="680"/>
      <c r="F49" s="696"/>
      <c r="G49" s="680"/>
      <c r="H49" s="696"/>
      <c r="I49" s="680"/>
      <c r="J49" s="697"/>
      <c r="K49" s="694"/>
      <c r="L49" s="695"/>
      <c r="M49" s="680"/>
      <c r="N49" s="695"/>
      <c r="O49" s="680"/>
      <c r="P49" s="695"/>
      <c r="Q49" s="680"/>
      <c r="R49" s="695"/>
      <c r="S49" s="680"/>
      <c r="T49" s="695"/>
      <c r="U49" s="680"/>
      <c r="V49" s="695"/>
      <c r="W49" s="680"/>
      <c r="X49" s="695"/>
      <c r="Y49" s="694"/>
      <c r="Z49" s="695"/>
      <c r="AA49" s="680"/>
      <c r="AB49" s="696"/>
      <c r="AC49" s="680"/>
      <c r="AD49" s="695"/>
      <c r="AE49" s="680"/>
      <c r="AF49" s="695"/>
      <c r="AG49" s="734"/>
      <c r="AH49" s="950"/>
      <c r="AI49" s="695"/>
      <c r="AJ49" s="680"/>
      <c r="AK49" s="695"/>
      <c r="AL49" s="707"/>
      <c r="AM49" s="695"/>
      <c r="AN49" s="692">
        <f t="shared" si="0"/>
        <v>0</v>
      </c>
      <c r="AO49" s="210"/>
      <c r="AP49" s="210"/>
    </row>
    <row r="50" spans="1:42" ht="18.600000000000001" customHeight="1" x14ac:dyDescent="0.25">
      <c r="A50" s="207" t="s">
        <v>880</v>
      </c>
      <c r="B50" s="726" t="s">
        <v>523</v>
      </c>
      <c r="C50" s="694"/>
      <c r="D50" s="696"/>
      <c r="E50" s="680"/>
      <c r="F50" s="696"/>
      <c r="G50" s="680"/>
      <c r="H50" s="696"/>
      <c r="I50" s="680"/>
      <c r="J50" s="697"/>
      <c r="K50" s="694"/>
      <c r="L50" s="695"/>
      <c r="M50" s="680"/>
      <c r="N50" s="695"/>
      <c r="O50" s="680"/>
      <c r="P50" s="695"/>
      <c r="Q50" s="680"/>
      <c r="R50" s="695"/>
      <c r="S50" s="680"/>
      <c r="T50" s="695"/>
      <c r="U50" s="680"/>
      <c r="V50" s="695"/>
      <c r="W50" s="680"/>
      <c r="X50" s="695"/>
      <c r="Y50" s="694"/>
      <c r="Z50" s="695"/>
      <c r="AA50" s="680"/>
      <c r="AB50" s="696"/>
      <c r="AC50" s="680"/>
      <c r="AD50" s="695"/>
      <c r="AE50" s="680"/>
      <c r="AF50" s="695"/>
      <c r="AG50" s="734"/>
      <c r="AH50" s="950"/>
      <c r="AI50" s="695"/>
      <c r="AJ50" s="680"/>
      <c r="AK50" s="695"/>
      <c r="AL50" s="707"/>
      <c r="AM50" s="695"/>
      <c r="AN50" s="692">
        <f t="shared" si="0"/>
        <v>0</v>
      </c>
      <c r="AO50" s="211"/>
      <c r="AP50" s="212"/>
    </row>
    <row r="51" spans="1:42" ht="17.45" customHeight="1" x14ac:dyDescent="0.25">
      <c r="A51" s="207" t="s">
        <v>880</v>
      </c>
      <c r="B51" s="726" t="s">
        <v>476</v>
      </c>
      <c r="C51" s="694"/>
      <c r="D51" s="696"/>
      <c r="E51" s="680"/>
      <c r="F51" s="696"/>
      <c r="G51" s="680"/>
      <c r="H51" s="696"/>
      <c r="I51" s="680"/>
      <c r="J51" s="697"/>
      <c r="K51" s="694"/>
      <c r="L51" s="695"/>
      <c r="M51" s="680"/>
      <c r="N51" s="695"/>
      <c r="O51" s="680"/>
      <c r="P51" s="695"/>
      <c r="Q51" s="680"/>
      <c r="R51" s="695"/>
      <c r="S51" s="680"/>
      <c r="T51" s="695"/>
      <c r="U51" s="680"/>
      <c r="V51" s="695"/>
      <c r="W51" s="680"/>
      <c r="X51" s="695"/>
      <c r="Y51" s="694"/>
      <c r="Z51" s="695"/>
      <c r="AA51" s="680"/>
      <c r="AB51" s="696"/>
      <c r="AC51" s="680"/>
      <c r="AD51" s="695"/>
      <c r="AE51" s="680"/>
      <c r="AF51" s="695"/>
      <c r="AG51" s="734"/>
      <c r="AH51" s="950"/>
      <c r="AI51" s="695"/>
      <c r="AJ51" s="680"/>
      <c r="AK51" s="695"/>
      <c r="AL51" s="707"/>
      <c r="AM51" s="695"/>
      <c r="AN51" s="692">
        <f t="shared" si="0"/>
        <v>0</v>
      </c>
      <c r="AO51" s="210"/>
      <c r="AP51" s="210"/>
    </row>
    <row r="52" spans="1:42" ht="19.149999999999999" customHeight="1" x14ac:dyDescent="0.25">
      <c r="A52" s="207" t="s">
        <v>880</v>
      </c>
      <c r="B52" s="726" t="s">
        <v>524</v>
      </c>
      <c r="C52" s="694"/>
      <c r="D52" s="696"/>
      <c r="E52" s="680"/>
      <c r="F52" s="696"/>
      <c r="G52" s="680"/>
      <c r="H52" s="696"/>
      <c r="I52" s="680"/>
      <c r="J52" s="697"/>
      <c r="K52" s="694"/>
      <c r="L52" s="695"/>
      <c r="M52" s="680"/>
      <c r="N52" s="695"/>
      <c r="O52" s="680"/>
      <c r="P52" s="695"/>
      <c r="Q52" s="680"/>
      <c r="R52" s="695"/>
      <c r="S52" s="680"/>
      <c r="T52" s="695"/>
      <c r="U52" s="680"/>
      <c r="V52" s="695"/>
      <c r="W52" s="680"/>
      <c r="X52" s="695"/>
      <c r="Y52" s="694"/>
      <c r="Z52" s="695"/>
      <c r="AA52" s="680"/>
      <c r="AB52" s="696"/>
      <c r="AC52" s="680"/>
      <c r="AD52" s="695"/>
      <c r="AE52" s="680"/>
      <c r="AF52" s="695"/>
      <c r="AG52" s="735"/>
      <c r="AH52" s="951"/>
      <c r="AI52" s="695"/>
      <c r="AJ52" s="680"/>
      <c r="AK52" s="695"/>
      <c r="AL52" s="707"/>
      <c r="AM52" s="695"/>
      <c r="AN52" s="692">
        <f t="shared" si="0"/>
        <v>0</v>
      </c>
      <c r="AO52" s="211"/>
      <c r="AP52" s="212"/>
    </row>
    <row r="53" spans="1:42" ht="18.600000000000001" customHeight="1" x14ac:dyDescent="0.25">
      <c r="A53" s="207" t="s">
        <v>880</v>
      </c>
      <c r="B53" s="726" t="s">
        <v>526</v>
      </c>
      <c r="C53" s="694"/>
      <c r="D53" s="696"/>
      <c r="E53" s="680"/>
      <c r="F53" s="696"/>
      <c r="G53" s="680"/>
      <c r="H53" s="696"/>
      <c r="I53" s="680"/>
      <c r="J53" s="697"/>
      <c r="K53" s="694"/>
      <c r="L53" s="695"/>
      <c r="M53" s="680"/>
      <c r="N53" s="695"/>
      <c r="O53" s="680"/>
      <c r="P53" s="695"/>
      <c r="Q53" s="680"/>
      <c r="R53" s="695"/>
      <c r="S53" s="680"/>
      <c r="T53" s="695"/>
      <c r="U53" s="680"/>
      <c r="V53" s="695"/>
      <c r="W53" s="680"/>
      <c r="X53" s="695"/>
      <c r="Y53" s="694"/>
      <c r="Z53" s="695"/>
      <c r="AA53" s="680"/>
      <c r="AB53" s="696"/>
      <c r="AC53" s="680"/>
      <c r="AD53" s="695"/>
      <c r="AE53" s="680"/>
      <c r="AF53" s="695"/>
      <c r="AG53" s="734"/>
      <c r="AH53" s="950"/>
      <c r="AI53" s="695"/>
      <c r="AJ53" s="680"/>
      <c r="AK53" s="695"/>
      <c r="AL53" s="707"/>
      <c r="AM53" s="695"/>
      <c r="AN53" s="692">
        <f t="shared" si="0"/>
        <v>0</v>
      </c>
      <c r="AO53" s="211"/>
      <c r="AP53" s="212"/>
    </row>
    <row r="54" spans="1:42" ht="20.45" customHeight="1" thickBot="1" x14ac:dyDescent="0.3">
      <c r="A54" s="207" t="s">
        <v>880</v>
      </c>
      <c r="B54" s="955" t="s">
        <v>527</v>
      </c>
      <c r="C54" s="956"/>
      <c r="D54" s="957"/>
      <c r="E54" s="958"/>
      <c r="F54" s="957"/>
      <c r="G54" s="958"/>
      <c r="H54" s="957"/>
      <c r="I54" s="958"/>
      <c r="J54" s="959"/>
      <c r="K54" s="956"/>
      <c r="L54" s="960"/>
      <c r="M54" s="958"/>
      <c r="N54" s="960"/>
      <c r="O54" s="958"/>
      <c r="P54" s="960"/>
      <c r="Q54" s="958"/>
      <c r="R54" s="960"/>
      <c r="S54" s="958"/>
      <c r="T54" s="960"/>
      <c r="U54" s="958"/>
      <c r="V54" s="960"/>
      <c r="W54" s="958"/>
      <c r="X54" s="960"/>
      <c r="Y54" s="956"/>
      <c r="Z54" s="960"/>
      <c r="AA54" s="958"/>
      <c r="AB54" s="957"/>
      <c r="AC54" s="958"/>
      <c r="AD54" s="960"/>
      <c r="AE54" s="958"/>
      <c r="AF54" s="960"/>
      <c r="AG54" s="961"/>
      <c r="AH54" s="962"/>
      <c r="AI54" s="960"/>
      <c r="AJ54" s="958"/>
      <c r="AK54" s="960"/>
      <c r="AL54" s="963"/>
      <c r="AM54" s="960"/>
      <c r="AN54" s="964">
        <f t="shared" si="0"/>
        <v>0</v>
      </c>
      <c r="AO54" s="211"/>
      <c r="AP54" s="212"/>
    </row>
    <row r="55" spans="1:42" x14ac:dyDescent="0.2">
      <c r="A55" s="213"/>
      <c r="B55" s="698"/>
      <c r="C55" s="366"/>
      <c r="D55" s="366"/>
      <c r="E55" s="366"/>
      <c r="F55" s="366"/>
      <c r="G55" s="366"/>
      <c r="H55" s="366"/>
      <c r="I55" s="366"/>
      <c r="J55" s="366"/>
      <c r="K55" s="366"/>
      <c r="L55" s="366"/>
      <c r="M55" s="366"/>
      <c r="N55" s="366"/>
      <c r="O55" s="366"/>
      <c r="P55" s="366"/>
      <c r="Q55" s="366"/>
      <c r="S55" s="366"/>
      <c r="T55" s="366"/>
      <c r="U55" s="366"/>
      <c r="V55" s="366"/>
      <c r="W55" s="366"/>
      <c r="X55" s="366"/>
      <c r="Y55" s="366"/>
      <c r="Z55" s="366"/>
      <c r="AA55" s="366"/>
      <c r="AB55" s="366"/>
      <c r="AC55" s="366"/>
      <c r="AD55" s="366"/>
      <c r="AE55" s="366"/>
      <c r="AF55" s="366"/>
      <c r="AG55" s="736"/>
      <c r="AH55" s="736"/>
      <c r="AI55" s="366"/>
      <c r="AJ55" s="366"/>
      <c r="AK55" s="366"/>
      <c r="AL55" s="209"/>
      <c r="AM55" s="366"/>
      <c r="AN55" s="365"/>
      <c r="AO55" s="211"/>
      <c r="AP55" s="212"/>
    </row>
    <row r="56" spans="1:42" ht="15.75" x14ac:dyDescent="0.25">
      <c r="A56" s="17"/>
      <c r="B56" s="214" t="s">
        <v>534</v>
      </c>
      <c r="C56" s="210"/>
      <c r="D56" s="210"/>
      <c r="E56" s="210"/>
      <c r="F56" s="210"/>
      <c r="G56" s="210"/>
      <c r="H56" s="210"/>
      <c r="K56" s="17"/>
      <c r="L56" s="205"/>
      <c r="M56"/>
      <c r="N56" s="475"/>
      <c r="O56" s="205"/>
      <c r="P56" s="517"/>
      <c r="Q56" s="517"/>
      <c r="R56" s="214" t="s">
        <v>40</v>
      </c>
      <c r="S56"/>
      <c r="T56" s="17"/>
      <c r="U56" s="205"/>
      <c r="X56" s="205"/>
      <c r="Z56" s="475" t="s">
        <v>536</v>
      </c>
      <c r="AA56" s="711"/>
      <c r="AB56" s="711"/>
      <c r="AC56" s="711"/>
      <c r="AD56" s="711"/>
      <c r="AE56" s="711"/>
      <c r="AF56" s="711"/>
      <c r="AG56" s="737"/>
      <c r="AH56" s="737"/>
      <c r="AI56" s="711"/>
      <c r="AJ56" s="711"/>
      <c r="AK56" s="711"/>
      <c r="AL56" s="711"/>
      <c r="AM56" s="711"/>
      <c r="AN56" s="681"/>
      <c r="AO56" s="167"/>
    </row>
    <row r="57" spans="1:42" ht="15.75" x14ac:dyDescent="0.25">
      <c r="A57" s="17"/>
      <c r="B57" s="214"/>
      <c r="C57" s="383"/>
      <c r="D57" s="205"/>
      <c r="E57" s="17"/>
      <c r="F57" s="17"/>
      <c r="G57" s="17"/>
      <c r="H57" s="17"/>
      <c r="K57" s="17"/>
      <c r="L57" s="205"/>
      <c r="M57" s="476"/>
      <c r="N57" s="17"/>
      <c r="O57" s="17"/>
      <c r="Q57"/>
      <c r="R57" s="214"/>
      <c r="S57"/>
      <c r="T57" s="17"/>
      <c r="U57" s="205"/>
      <c r="V57" s="476"/>
      <c r="W57" s="17"/>
      <c r="X57" s="17"/>
      <c r="Y57"/>
      <c r="Z57" s="476"/>
      <c r="AA57" s="684"/>
      <c r="AB57" s="684"/>
      <c r="AC57" s="682"/>
      <c r="AD57" s="682"/>
      <c r="AE57" s="682"/>
      <c r="AF57" s="682"/>
      <c r="AG57" s="738"/>
      <c r="AH57" s="738"/>
      <c r="AI57" s="682"/>
      <c r="AJ57" s="681"/>
      <c r="AK57" s="681"/>
      <c r="AL57" s="708"/>
      <c r="AM57" s="681"/>
      <c r="AN57" s="681"/>
      <c r="AO57" s="210"/>
      <c r="AP57" s="210"/>
    </row>
    <row r="58" spans="1:42" ht="15.75" x14ac:dyDescent="0.25">
      <c r="A58" s="17"/>
      <c r="B58" s="214" t="s">
        <v>535</v>
      </c>
      <c r="C58" s="210"/>
      <c r="D58" s="210"/>
      <c r="E58" s="210"/>
      <c r="F58" s="210"/>
      <c r="G58" s="210"/>
      <c r="H58" s="210"/>
      <c r="K58" s="210"/>
      <c r="M58"/>
      <c r="N58" s="477"/>
      <c r="O58" s="205"/>
      <c r="P58" s="210"/>
      <c r="Q58" s="210"/>
      <c r="R58" s="214" t="s">
        <v>41</v>
      </c>
      <c r="S58"/>
      <c r="T58" s="210"/>
      <c r="U58"/>
      <c r="X58" s="205"/>
      <c r="Z58" s="477" t="s">
        <v>537</v>
      </c>
      <c r="AA58" s="711"/>
      <c r="AB58" s="711"/>
      <c r="AC58" s="711"/>
      <c r="AD58" s="711"/>
      <c r="AE58" s="711"/>
      <c r="AF58" s="711"/>
      <c r="AG58" s="737"/>
      <c r="AH58" s="737"/>
      <c r="AI58" s="711"/>
      <c r="AJ58" s="711"/>
      <c r="AK58" s="711"/>
      <c r="AL58" s="711"/>
      <c r="AM58" s="711"/>
      <c r="AN58" s="682"/>
    </row>
    <row r="59" spans="1:42" ht="15.75" x14ac:dyDescent="0.25">
      <c r="A59" s="17"/>
      <c r="B59" s="700"/>
      <c r="C59" s="681"/>
      <c r="D59" s="681"/>
      <c r="E59" s="682"/>
      <c r="F59" s="682"/>
      <c r="G59" s="682"/>
      <c r="H59" s="682"/>
      <c r="I59" s="682"/>
      <c r="J59" s="682"/>
      <c r="K59" s="682"/>
      <c r="L59" s="682"/>
      <c r="M59" s="682"/>
      <c r="N59" s="682"/>
      <c r="O59" s="682"/>
      <c r="P59" s="682"/>
      <c r="Q59" s="682"/>
      <c r="R59" s="682"/>
      <c r="S59" s="682"/>
      <c r="T59" s="682"/>
      <c r="U59" s="682"/>
      <c r="V59" s="682"/>
      <c r="W59" s="682"/>
      <c r="X59" s="682"/>
      <c r="Y59" s="682"/>
      <c r="Z59" s="682"/>
      <c r="AA59" s="682"/>
      <c r="AB59" s="682"/>
      <c r="AC59" s="682"/>
      <c r="AD59" s="682"/>
      <c r="AE59" s="682"/>
      <c r="AF59" s="682"/>
      <c r="AG59" s="738"/>
      <c r="AH59" s="738"/>
      <c r="AI59" s="682"/>
      <c r="AJ59" s="682"/>
      <c r="AK59" s="682"/>
      <c r="AL59" s="709"/>
      <c r="AM59" s="682"/>
      <c r="AN59" s="682"/>
    </row>
    <row r="60" spans="1:42" ht="15.75" x14ac:dyDescent="0.25">
      <c r="A60" s="17"/>
      <c r="B60" s="681" t="s">
        <v>107</v>
      </c>
      <c r="C60" s="711"/>
      <c r="D60" s="711"/>
      <c r="E60" s="711"/>
      <c r="F60" s="711"/>
      <c r="G60" s="711"/>
      <c r="H60" s="711"/>
      <c r="I60" s="711"/>
      <c r="J60" s="711"/>
      <c r="K60" s="711"/>
      <c r="L60" s="711"/>
      <c r="M60" s="681" t="s">
        <v>881</v>
      </c>
      <c r="N60" s="711"/>
      <c r="O60" s="711"/>
      <c r="P60" s="711"/>
      <c r="Q60" s="711"/>
      <c r="R60" s="711"/>
      <c r="S60" s="711"/>
      <c r="T60" s="711"/>
      <c r="U60" s="711"/>
      <c r="V60" s="682"/>
      <c r="W60" s="682"/>
      <c r="X60" s="682"/>
      <c r="Y60" s="682"/>
      <c r="Z60" s="682"/>
      <c r="AA60" s="682"/>
      <c r="AB60" s="682"/>
      <c r="AC60" s="682"/>
      <c r="AD60" s="682"/>
      <c r="AE60" s="682"/>
      <c r="AF60" s="682"/>
      <c r="AG60" s="738"/>
      <c r="AH60" s="738"/>
      <c r="AI60" s="682"/>
      <c r="AJ60" s="682"/>
      <c r="AK60" s="682"/>
      <c r="AL60" s="709"/>
      <c r="AM60" s="682"/>
      <c r="AN60" s="682"/>
    </row>
    <row r="61" spans="1:42" ht="15.75" x14ac:dyDescent="0.25">
      <c r="A61" s="17"/>
      <c r="B61" s="682"/>
      <c r="C61" s="682"/>
      <c r="D61" s="682"/>
      <c r="E61" s="682"/>
      <c r="F61" s="682"/>
      <c r="G61" s="682"/>
      <c r="H61" s="682"/>
      <c r="I61" s="682"/>
      <c r="J61" s="682"/>
      <c r="K61" s="682"/>
      <c r="L61" s="682"/>
      <c r="M61" s="681" t="s">
        <v>108</v>
      </c>
      <c r="N61" s="711"/>
      <c r="O61" s="711"/>
      <c r="P61" s="711"/>
      <c r="Q61" s="711"/>
      <c r="R61" s="711"/>
      <c r="S61" s="711"/>
      <c r="T61" s="711"/>
      <c r="U61" s="711"/>
      <c r="V61" s="682"/>
      <c r="W61" s="682"/>
      <c r="X61" s="682"/>
      <c r="Y61" s="682"/>
      <c r="Z61" s="682"/>
      <c r="AA61" s="682"/>
      <c r="AB61" s="682"/>
      <c r="AC61" s="682"/>
      <c r="AD61" s="682"/>
      <c r="AE61" s="682"/>
      <c r="AF61" s="682"/>
      <c r="AG61" s="738"/>
      <c r="AH61" s="738"/>
      <c r="AI61" s="682"/>
      <c r="AJ61" s="682"/>
      <c r="AK61" s="682"/>
      <c r="AL61" s="709"/>
      <c r="AM61" s="682"/>
      <c r="AN61" s="682"/>
    </row>
    <row r="62" spans="1:42" ht="15.75" x14ac:dyDescent="0.25">
      <c r="A62" s="17"/>
      <c r="B62" s="682"/>
      <c r="C62" s="682"/>
      <c r="D62" s="682"/>
      <c r="E62" s="682"/>
      <c r="F62" s="682"/>
      <c r="G62" s="682"/>
      <c r="H62" s="682"/>
      <c r="I62" s="682"/>
      <c r="J62" s="682"/>
      <c r="K62" s="682"/>
      <c r="L62" s="682"/>
      <c r="M62" s="681" t="s">
        <v>109</v>
      </c>
      <c r="N62" s="711"/>
      <c r="O62" s="711"/>
      <c r="P62" s="711"/>
      <c r="Q62" s="711"/>
      <c r="R62" s="711"/>
      <c r="S62" s="711"/>
      <c r="T62" s="711"/>
      <c r="U62" s="711"/>
      <c r="V62" s="682"/>
      <c r="W62" s="682"/>
      <c r="X62" s="682"/>
      <c r="Y62" s="682"/>
      <c r="Z62" s="682"/>
      <c r="AA62" s="682"/>
      <c r="AB62" s="682"/>
      <c r="AC62" s="682"/>
      <c r="AD62" s="682"/>
      <c r="AE62" s="682"/>
      <c r="AF62" s="682"/>
      <c r="AG62" s="738"/>
      <c r="AH62" s="738"/>
      <c r="AI62" s="682"/>
      <c r="AJ62" s="682"/>
      <c r="AK62" s="682"/>
      <c r="AL62" s="709"/>
      <c r="AM62" s="682"/>
      <c r="AN62" s="682"/>
    </row>
    <row r="63" spans="1:42" s="36" customFormat="1" ht="15.75" x14ac:dyDescent="0.25">
      <c r="A63" s="17"/>
      <c r="B63" s="682"/>
      <c r="C63" s="682"/>
      <c r="D63" s="682"/>
      <c r="E63" s="682"/>
      <c r="F63" s="682"/>
      <c r="G63" s="682"/>
      <c r="H63" s="682"/>
      <c r="I63" s="682"/>
      <c r="J63" s="682"/>
      <c r="K63" s="682"/>
      <c r="L63" s="682"/>
      <c r="M63" s="681"/>
      <c r="N63" s="711"/>
      <c r="O63" s="711"/>
      <c r="P63" s="711"/>
      <c r="Q63" s="711"/>
      <c r="R63" s="711"/>
      <c r="S63" s="711"/>
      <c r="T63" s="711"/>
      <c r="U63" s="711"/>
      <c r="V63" s="711"/>
      <c r="W63" s="711"/>
      <c r="X63" s="711"/>
      <c r="Y63" s="711"/>
      <c r="Z63" s="711"/>
      <c r="AA63" s="711"/>
      <c r="AB63" s="711"/>
      <c r="AC63" s="711"/>
      <c r="AD63" s="711"/>
      <c r="AE63" s="711"/>
      <c r="AF63" s="711"/>
      <c r="AG63" s="737"/>
      <c r="AH63" s="737"/>
      <c r="AI63" s="711"/>
      <c r="AJ63" s="711"/>
      <c r="AK63" s="711"/>
      <c r="AL63" s="711"/>
      <c r="AM63" s="711"/>
      <c r="AN63" s="711"/>
    </row>
    <row r="64" spans="1:42" s="36" customFormat="1" ht="15.75" x14ac:dyDescent="0.25">
      <c r="A64" s="17"/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82"/>
      <c r="M64" s="682"/>
      <c r="N64" s="682"/>
      <c r="O64" s="682"/>
      <c r="P64" s="682"/>
      <c r="Q64" s="682"/>
      <c r="R64" s="682"/>
      <c r="S64" s="682"/>
      <c r="T64" s="682"/>
      <c r="U64" s="682"/>
      <c r="V64" s="711"/>
      <c r="W64" s="711"/>
      <c r="X64" s="711"/>
      <c r="Y64" s="711"/>
      <c r="Z64" s="711"/>
      <c r="AA64" s="711"/>
      <c r="AB64" s="711"/>
      <c r="AC64" s="711"/>
      <c r="AD64" s="711"/>
      <c r="AE64" s="711"/>
      <c r="AF64" s="711"/>
      <c r="AG64" s="737"/>
      <c r="AH64" s="737"/>
      <c r="AI64" s="711"/>
      <c r="AJ64" s="711"/>
      <c r="AK64" s="711"/>
      <c r="AL64" s="711"/>
      <c r="AM64" s="711"/>
      <c r="AN64" s="711"/>
    </row>
    <row r="65" spans="1:40" ht="15.75" x14ac:dyDescent="0.25">
      <c r="A65" s="17"/>
      <c r="B65" s="701"/>
      <c r="C65" s="699"/>
      <c r="D65" s="699"/>
      <c r="E65" s="699"/>
      <c r="F65" s="699"/>
      <c r="G65" s="699"/>
      <c r="H65" s="699"/>
      <c r="I65" s="699"/>
      <c r="J65" s="682"/>
      <c r="K65" s="682"/>
      <c r="L65" s="682"/>
      <c r="M65" s="682"/>
      <c r="N65" s="682"/>
      <c r="O65" s="682"/>
      <c r="P65" s="682"/>
      <c r="Q65" s="682"/>
      <c r="R65" s="682"/>
      <c r="S65" s="682"/>
      <c r="T65" s="682"/>
      <c r="U65" s="682"/>
      <c r="V65" s="682"/>
      <c r="W65" s="682"/>
      <c r="X65" s="682"/>
      <c r="Y65" s="682"/>
      <c r="Z65" s="682"/>
      <c r="AA65" s="682"/>
      <c r="AB65" s="682"/>
      <c r="AC65" s="682"/>
      <c r="AD65" s="682"/>
      <c r="AE65" s="682"/>
      <c r="AF65" s="682"/>
      <c r="AG65" s="738"/>
      <c r="AH65" s="738"/>
      <c r="AI65" s="682"/>
      <c r="AJ65" s="682"/>
      <c r="AK65" s="682"/>
      <c r="AL65" s="709"/>
      <c r="AM65" s="682"/>
      <c r="AN65" s="682"/>
    </row>
    <row r="66" spans="1:40" ht="15.75" x14ac:dyDescent="0.25">
      <c r="B66" s="701"/>
      <c r="C66" s="683"/>
      <c r="D66" s="683"/>
      <c r="E66" s="683"/>
      <c r="F66" s="683"/>
      <c r="G66" s="683"/>
      <c r="H66" s="682"/>
      <c r="I66" s="682"/>
      <c r="J66" s="682"/>
      <c r="K66" s="682"/>
      <c r="L66" s="682"/>
      <c r="M66" s="682"/>
      <c r="N66" s="682"/>
      <c r="O66" s="682"/>
      <c r="P66" s="682"/>
      <c r="Q66" s="682"/>
      <c r="R66" s="682"/>
      <c r="S66" s="682"/>
      <c r="T66" s="682"/>
      <c r="U66" s="682"/>
      <c r="V66" s="682"/>
      <c r="W66" s="682"/>
      <c r="X66" s="682"/>
      <c r="Y66" s="682"/>
      <c r="Z66" s="682"/>
      <c r="AA66" s="682"/>
      <c r="AB66" s="682"/>
      <c r="AC66" s="682"/>
      <c r="AD66" s="682"/>
      <c r="AE66" s="682"/>
      <c r="AF66" s="682"/>
      <c r="AG66" s="739"/>
      <c r="AH66" s="739"/>
      <c r="AI66" s="683"/>
      <c r="AJ66" s="683"/>
      <c r="AK66" s="683"/>
      <c r="AL66" s="710"/>
      <c r="AM66" s="683"/>
      <c r="AN66" s="683"/>
    </row>
    <row r="67" spans="1:40" ht="15.75" x14ac:dyDescent="0.25">
      <c r="B67" s="701"/>
      <c r="C67" s="683"/>
      <c r="D67" s="683"/>
      <c r="E67" s="683"/>
      <c r="F67" s="683"/>
      <c r="G67" s="683"/>
      <c r="H67" s="682"/>
      <c r="I67" s="682"/>
      <c r="J67" s="682"/>
      <c r="K67" s="682"/>
      <c r="L67" s="682"/>
      <c r="M67" s="682"/>
      <c r="N67" s="682"/>
      <c r="O67" s="682"/>
      <c r="P67" s="682"/>
      <c r="Q67" s="682"/>
      <c r="R67" s="682"/>
      <c r="S67" s="682"/>
      <c r="T67" s="682"/>
      <c r="U67" s="682"/>
      <c r="V67" s="682"/>
      <c r="W67" s="682"/>
      <c r="X67" s="682"/>
      <c r="Y67" s="682"/>
      <c r="Z67" s="682"/>
      <c r="AA67" s="682"/>
      <c r="AB67" s="682"/>
      <c r="AC67" s="682"/>
      <c r="AD67" s="682"/>
      <c r="AE67" s="682"/>
      <c r="AF67" s="682"/>
      <c r="AG67" s="739"/>
      <c r="AH67" s="739"/>
      <c r="AI67" s="683"/>
      <c r="AJ67" s="683"/>
      <c r="AK67" s="683"/>
      <c r="AL67" s="710"/>
      <c r="AM67" s="683"/>
      <c r="AN67" s="683"/>
    </row>
    <row r="68" spans="1:40" ht="15.75" x14ac:dyDescent="0.25">
      <c r="B68" s="701"/>
      <c r="C68" s="683"/>
      <c r="D68" s="683"/>
      <c r="E68" s="683"/>
      <c r="F68" s="683"/>
      <c r="G68" s="683"/>
      <c r="H68" s="682"/>
      <c r="I68" s="682"/>
      <c r="J68" s="682"/>
      <c r="K68" s="682"/>
      <c r="L68" s="682"/>
      <c r="M68" s="682"/>
      <c r="N68" s="682"/>
      <c r="O68" s="682"/>
      <c r="P68" s="682"/>
      <c r="Q68" s="682"/>
      <c r="R68" s="682"/>
      <c r="S68" s="682"/>
      <c r="T68" s="682"/>
      <c r="U68" s="682"/>
      <c r="V68" s="682"/>
      <c r="W68" s="682"/>
      <c r="X68" s="682"/>
      <c r="Y68" s="682"/>
      <c r="Z68" s="682"/>
      <c r="AA68" s="682"/>
      <c r="AB68" s="682"/>
      <c r="AC68" s="682"/>
      <c r="AD68" s="682"/>
      <c r="AE68" s="682"/>
      <c r="AF68" s="682"/>
      <c r="AG68" s="739"/>
      <c r="AH68" s="739"/>
      <c r="AI68" s="683"/>
      <c r="AJ68" s="683"/>
      <c r="AK68" s="683"/>
      <c r="AL68" s="710"/>
      <c r="AM68" s="683"/>
      <c r="AN68" s="683"/>
    </row>
    <row r="69" spans="1:40" ht="15.75" x14ac:dyDescent="0.25">
      <c r="B69" s="701"/>
      <c r="C69" s="683"/>
      <c r="D69" s="683"/>
      <c r="E69" s="683"/>
      <c r="F69" s="683"/>
      <c r="G69" s="683"/>
      <c r="H69" s="682"/>
      <c r="I69" s="682"/>
      <c r="J69" s="682"/>
      <c r="K69" s="682"/>
      <c r="L69" s="682"/>
      <c r="M69" s="682"/>
      <c r="N69" s="682"/>
      <c r="O69" s="682"/>
      <c r="P69" s="682"/>
      <c r="Q69" s="682"/>
      <c r="R69" s="682"/>
      <c r="S69" s="682"/>
      <c r="T69" s="682"/>
      <c r="U69" s="682"/>
      <c r="V69" s="682"/>
      <c r="W69" s="682"/>
      <c r="X69" s="682"/>
      <c r="Y69" s="682"/>
      <c r="Z69" s="682"/>
      <c r="AA69" s="682"/>
      <c r="AB69" s="682"/>
      <c r="AC69" s="682"/>
      <c r="AD69" s="682"/>
      <c r="AE69" s="682"/>
      <c r="AF69" s="682"/>
      <c r="AG69" s="739"/>
      <c r="AH69" s="739"/>
      <c r="AI69" s="683"/>
      <c r="AJ69" s="683"/>
      <c r="AK69" s="683"/>
      <c r="AL69" s="710"/>
      <c r="AM69" s="683"/>
      <c r="AN69" s="683"/>
    </row>
    <row r="70" spans="1:40" ht="15.75" x14ac:dyDescent="0.25">
      <c r="B70" s="701"/>
      <c r="C70" s="683"/>
      <c r="D70" s="683"/>
      <c r="E70" s="683"/>
      <c r="F70" s="683"/>
      <c r="G70" s="683"/>
      <c r="H70" s="682"/>
      <c r="I70" s="682"/>
      <c r="J70" s="682"/>
      <c r="K70" s="682"/>
      <c r="L70" s="682"/>
      <c r="M70" s="682"/>
      <c r="N70" s="682"/>
      <c r="O70" s="682"/>
      <c r="P70" s="682"/>
      <c r="Q70" s="682"/>
      <c r="R70" s="682"/>
      <c r="S70" s="682"/>
      <c r="T70" s="682"/>
      <c r="U70" s="682"/>
      <c r="V70" s="682"/>
      <c r="W70" s="682"/>
      <c r="X70" s="682"/>
      <c r="Y70" s="682"/>
      <c r="Z70" s="682"/>
      <c r="AA70" s="682"/>
      <c r="AB70" s="682"/>
      <c r="AC70" s="682"/>
      <c r="AD70" s="682"/>
      <c r="AE70" s="682"/>
      <c r="AF70" s="682"/>
      <c r="AG70" s="739"/>
      <c r="AH70" s="739"/>
      <c r="AI70" s="683"/>
      <c r="AJ70" s="683"/>
      <c r="AK70" s="683"/>
      <c r="AL70" s="710"/>
      <c r="AM70" s="683"/>
      <c r="AN70" s="683"/>
    </row>
    <row r="71" spans="1:40" ht="15.75" x14ac:dyDescent="0.25">
      <c r="B71" s="701"/>
      <c r="C71" s="683"/>
      <c r="D71" s="683"/>
      <c r="E71" s="683"/>
      <c r="F71" s="683"/>
      <c r="G71" s="683"/>
      <c r="H71" s="682"/>
      <c r="I71" s="682"/>
      <c r="J71" s="682"/>
      <c r="K71" s="682"/>
      <c r="L71" s="682"/>
      <c r="M71" s="682"/>
      <c r="N71" s="682"/>
      <c r="O71" s="682"/>
      <c r="P71" s="682"/>
      <c r="Q71" s="682"/>
      <c r="R71" s="682"/>
      <c r="S71" s="682"/>
      <c r="T71" s="682"/>
      <c r="U71" s="682"/>
      <c r="V71" s="682"/>
      <c r="W71" s="682"/>
      <c r="X71" s="682"/>
      <c r="Y71" s="682"/>
      <c r="Z71" s="682"/>
      <c r="AA71" s="682"/>
      <c r="AB71" s="682"/>
      <c r="AC71" s="682"/>
      <c r="AD71" s="682"/>
      <c r="AE71" s="682"/>
      <c r="AF71" s="682"/>
      <c r="AG71" s="739"/>
      <c r="AH71" s="739"/>
      <c r="AI71" s="683"/>
      <c r="AJ71" s="683"/>
      <c r="AK71" s="683"/>
      <c r="AL71" s="710"/>
      <c r="AM71" s="683"/>
      <c r="AN71" s="683"/>
    </row>
    <row r="72" spans="1:40" ht="15.75" x14ac:dyDescent="0.25">
      <c r="B72" s="702"/>
      <c r="C72" s="683"/>
      <c r="D72" s="683"/>
      <c r="E72" s="683"/>
      <c r="F72" s="683"/>
      <c r="G72" s="683"/>
      <c r="H72" s="682"/>
      <c r="I72" s="682"/>
      <c r="J72" s="682"/>
      <c r="K72" s="682"/>
      <c r="L72" s="682"/>
      <c r="M72" s="682"/>
      <c r="N72" s="682"/>
      <c r="O72" s="682"/>
      <c r="P72" s="682"/>
      <c r="Q72" s="682"/>
      <c r="R72" s="682"/>
      <c r="S72" s="682"/>
      <c r="T72" s="682"/>
      <c r="U72" s="682"/>
      <c r="V72" s="682"/>
      <c r="W72" s="682"/>
      <c r="X72" s="682"/>
      <c r="Y72" s="682"/>
      <c r="Z72" s="682"/>
      <c r="AA72" s="682"/>
      <c r="AB72" s="682"/>
      <c r="AC72" s="682"/>
      <c r="AD72" s="683"/>
      <c r="AE72" s="683"/>
      <c r="AF72" s="683"/>
      <c r="AG72" s="739"/>
      <c r="AH72" s="739"/>
      <c r="AI72" s="683"/>
      <c r="AJ72" s="683"/>
      <c r="AK72" s="683"/>
      <c r="AL72" s="710"/>
      <c r="AM72" s="683"/>
      <c r="AN72" s="683"/>
    </row>
    <row r="73" spans="1:40" ht="15.75" x14ac:dyDescent="0.25">
      <c r="B73" s="702"/>
      <c r="C73" s="683"/>
      <c r="D73" s="683"/>
      <c r="E73" s="683"/>
      <c r="F73" s="683"/>
      <c r="G73" s="683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2"/>
      <c r="X73" s="682"/>
      <c r="Y73" s="682"/>
      <c r="Z73" s="682"/>
      <c r="AA73" s="682"/>
      <c r="AB73" s="682"/>
      <c r="AC73" s="682"/>
      <c r="AD73" s="683"/>
      <c r="AE73" s="683"/>
      <c r="AF73" s="683"/>
      <c r="AG73" s="739"/>
      <c r="AH73" s="739"/>
      <c r="AI73" s="683"/>
      <c r="AJ73" s="683"/>
      <c r="AK73" s="683"/>
      <c r="AL73" s="710"/>
      <c r="AM73" s="683"/>
      <c r="AN73" s="683"/>
    </row>
    <row r="74" spans="1:40" ht="15.75" x14ac:dyDescent="0.25">
      <c r="B74" s="703"/>
      <c r="C74" s="683"/>
      <c r="D74" s="683"/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S74" s="683"/>
      <c r="T74" s="683"/>
      <c r="U74" s="683"/>
      <c r="V74" s="683"/>
      <c r="W74" s="683"/>
      <c r="X74" s="683"/>
      <c r="Y74" s="683"/>
      <c r="Z74" s="683"/>
      <c r="AA74" s="683"/>
      <c r="AB74" s="682"/>
      <c r="AC74" s="682"/>
      <c r="AD74" s="683"/>
      <c r="AE74" s="683"/>
      <c r="AF74" s="683"/>
      <c r="AG74" s="739"/>
      <c r="AH74" s="739"/>
      <c r="AI74" s="683"/>
      <c r="AJ74" s="683"/>
      <c r="AK74" s="683"/>
      <c r="AL74" s="710"/>
      <c r="AM74" s="683"/>
      <c r="AN74" s="683"/>
    </row>
    <row r="75" spans="1:40" ht="15.75" x14ac:dyDescent="0.25">
      <c r="B75" s="703"/>
      <c r="C75" s="683"/>
      <c r="D75" s="683"/>
      <c r="E75" s="683"/>
      <c r="F75" s="683"/>
      <c r="G75" s="683"/>
      <c r="H75" s="682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S75" s="683"/>
      <c r="T75" s="683"/>
      <c r="U75" s="683"/>
      <c r="V75" s="683"/>
      <c r="W75" s="683"/>
      <c r="X75" s="683"/>
      <c r="Y75" s="683"/>
      <c r="Z75" s="683"/>
      <c r="AA75" s="683"/>
      <c r="AB75" s="682"/>
      <c r="AC75" s="682"/>
      <c r="AD75" s="683"/>
      <c r="AE75" s="683"/>
      <c r="AF75" s="683"/>
      <c r="AG75" s="739"/>
      <c r="AH75" s="739"/>
      <c r="AI75" s="683"/>
      <c r="AJ75" s="683"/>
      <c r="AK75" s="683"/>
      <c r="AL75" s="710"/>
      <c r="AM75" s="683"/>
      <c r="AN75" s="683"/>
    </row>
    <row r="76" spans="1:40" ht="15.75" x14ac:dyDescent="0.25">
      <c r="B76" s="703"/>
      <c r="C76" s="683"/>
      <c r="D76" s="683"/>
      <c r="E76" s="683"/>
      <c r="F76" s="683"/>
      <c r="G76" s="683"/>
      <c r="H76" s="682"/>
      <c r="I76" s="683"/>
      <c r="J76" s="683"/>
      <c r="K76" s="683"/>
      <c r="L76" s="683"/>
      <c r="M76" s="683"/>
      <c r="N76" s="683"/>
      <c r="O76" s="683"/>
      <c r="P76" s="683"/>
      <c r="Q76" s="683"/>
      <c r="R76" s="683"/>
      <c r="S76" s="683"/>
      <c r="T76" s="683"/>
      <c r="U76" s="683"/>
      <c r="V76" s="683"/>
      <c r="W76" s="683"/>
      <c r="X76" s="683"/>
      <c r="Y76" s="683"/>
      <c r="Z76" s="683"/>
      <c r="AA76" s="683"/>
      <c r="AB76" s="682"/>
      <c r="AC76" s="682"/>
      <c r="AD76" s="683"/>
      <c r="AE76" s="683"/>
      <c r="AF76" s="683"/>
      <c r="AG76" s="739"/>
      <c r="AH76" s="739"/>
      <c r="AI76" s="683"/>
      <c r="AJ76" s="683"/>
      <c r="AK76" s="683"/>
      <c r="AL76" s="710"/>
      <c r="AM76" s="683"/>
      <c r="AN76" s="683"/>
    </row>
    <row r="77" spans="1:40" ht="15.75" x14ac:dyDescent="0.25">
      <c r="B77" s="704"/>
      <c r="C77" s="684"/>
      <c r="D77" s="684"/>
      <c r="E77" s="684"/>
      <c r="F77" s="684"/>
      <c r="G77" s="684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S77" s="683"/>
      <c r="T77" s="683"/>
      <c r="U77" s="683"/>
      <c r="V77" s="683"/>
      <c r="W77" s="683"/>
      <c r="X77" s="683"/>
      <c r="Y77" s="683"/>
      <c r="Z77" s="683"/>
      <c r="AA77" s="683"/>
      <c r="AB77" s="682"/>
      <c r="AC77" s="682"/>
      <c r="AD77" s="683"/>
      <c r="AE77" s="683"/>
      <c r="AF77" s="683"/>
      <c r="AG77" s="739"/>
      <c r="AH77" s="739"/>
      <c r="AI77" s="683"/>
      <c r="AJ77" s="683"/>
      <c r="AK77" s="683"/>
      <c r="AL77" s="710"/>
      <c r="AM77" s="683"/>
      <c r="AN77" s="683"/>
    </row>
    <row r="78" spans="1:40" ht="15" x14ac:dyDescent="0.2">
      <c r="B78" s="704"/>
      <c r="C78" s="684"/>
      <c r="D78" s="684"/>
      <c r="E78" s="684"/>
      <c r="F78" s="684"/>
      <c r="G78" s="684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S78" s="683"/>
      <c r="T78" s="683"/>
      <c r="U78" s="683"/>
      <c r="V78" s="683"/>
      <c r="W78" s="683"/>
      <c r="X78" s="683"/>
      <c r="Y78" s="683"/>
      <c r="Z78" s="683"/>
      <c r="AA78" s="683"/>
      <c r="AB78" s="683"/>
      <c r="AC78" s="683"/>
      <c r="AD78" s="683"/>
      <c r="AE78" s="683"/>
      <c r="AF78" s="683"/>
      <c r="AG78" s="739"/>
      <c r="AH78" s="739"/>
      <c r="AI78" s="683"/>
      <c r="AJ78" s="683"/>
      <c r="AK78" s="683"/>
      <c r="AL78" s="710"/>
      <c r="AM78" s="683"/>
      <c r="AN78" s="683"/>
    </row>
    <row r="79" spans="1:40" ht="15.75" x14ac:dyDescent="0.25">
      <c r="B79" s="704"/>
      <c r="C79" s="684"/>
      <c r="D79" s="684"/>
      <c r="E79" s="684"/>
      <c r="F79" s="684"/>
      <c r="G79" s="684"/>
      <c r="H79" s="683"/>
      <c r="I79" s="683"/>
      <c r="J79" s="683"/>
      <c r="K79" s="683"/>
      <c r="L79" s="683"/>
      <c r="M79" s="683"/>
      <c r="N79" s="683"/>
      <c r="O79" s="683"/>
      <c r="P79" s="683"/>
      <c r="Q79" s="683"/>
      <c r="R79" s="683"/>
      <c r="S79" s="683"/>
      <c r="T79" s="683"/>
      <c r="U79" s="683"/>
      <c r="V79" s="683"/>
      <c r="W79" s="683"/>
      <c r="X79" s="683"/>
      <c r="Y79" s="683"/>
      <c r="Z79" s="683"/>
      <c r="AA79" s="683"/>
      <c r="AB79" s="682"/>
      <c r="AC79" s="683"/>
      <c r="AD79" s="683"/>
      <c r="AE79" s="683"/>
      <c r="AF79" s="683"/>
      <c r="AG79" s="739"/>
      <c r="AH79" s="739"/>
      <c r="AI79" s="683"/>
      <c r="AJ79" s="683"/>
      <c r="AK79" s="683"/>
      <c r="AL79" s="710"/>
      <c r="AM79" s="683"/>
      <c r="AN79" s="683"/>
    </row>
    <row r="80" spans="1:40" ht="15" x14ac:dyDescent="0.2">
      <c r="B80" s="704"/>
      <c r="C80" s="684"/>
      <c r="D80" s="684"/>
      <c r="E80" s="684"/>
      <c r="F80" s="684"/>
      <c r="G80" s="684"/>
      <c r="H80" s="683"/>
      <c r="I80" s="683"/>
      <c r="J80" s="683"/>
      <c r="K80" s="683"/>
      <c r="L80" s="683"/>
      <c r="M80" s="683"/>
      <c r="N80" s="683"/>
      <c r="O80" s="683"/>
      <c r="P80" s="683"/>
      <c r="Q80" s="683"/>
      <c r="R80" s="683"/>
      <c r="S80" s="683"/>
      <c r="T80" s="683"/>
      <c r="U80" s="683"/>
      <c r="V80" s="683"/>
      <c r="W80" s="683"/>
      <c r="X80" s="683"/>
      <c r="Y80" s="683"/>
      <c r="Z80" s="683"/>
      <c r="AA80" s="683"/>
      <c r="AB80" s="683"/>
      <c r="AC80" s="683"/>
      <c r="AD80" s="683"/>
      <c r="AE80" s="683"/>
      <c r="AF80" s="683"/>
      <c r="AG80" s="739"/>
      <c r="AH80" s="739"/>
      <c r="AI80" s="683"/>
      <c r="AJ80" s="683"/>
      <c r="AK80" s="683"/>
      <c r="AL80" s="710"/>
      <c r="AM80" s="683"/>
      <c r="AN80" s="683"/>
    </row>
    <row r="81" spans="2:40" ht="15.75" x14ac:dyDescent="0.25">
      <c r="B81" s="704"/>
      <c r="C81" s="684"/>
      <c r="D81" s="684"/>
      <c r="E81" s="684"/>
      <c r="F81" s="684"/>
      <c r="G81" s="684"/>
      <c r="H81" s="683"/>
      <c r="I81" s="683"/>
      <c r="J81" s="683"/>
      <c r="K81" s="683"/>
      <c r="L81" s="683"/>
      <c r="M81" s="683"/>
      <c r="N81" s="683"/>
      <c r="O81" s="683"/>
      <c r="P81" s="683"/>
      <c r="Q81" s="683"/>
      <c r="R81" s="683"/>
      <c r="S81" s="683"/>
      <c r="T81" s="683"/>
      <c r="U81" s="683"/>
      <c r="V81" s="683"/>
      <c r="W81" s="683"/>
      <c r="X81" s="683"/>
      <c r="Y81" s="683"/>
      <c r="Z81" s="683"/>
      <c r="AA81" s="683"/>
      <c r="AB81" s="682"/>
      <c r="AC81" s="683"/>
      <c r="AD81" s="683"/>
      <c r="AE81" s="683"/>
      <c r="AF81" s="683"/>
      <c r="AG81" s="739"/>
      <c r="AH81" s="739"/>
      <c r="AI81" s="683"/>
      <c r="AJ81" s="683"/>
      <c r="AK81" s="683"/>
      <c r="AL81" s="710"/>
      <c r="AM81" s="683"/>
      <c r="AN81" s="683"/>
    </row>
    <row r="82" spans="2:40" ht="15" x14ac:dyDescent="0.2">
      <c r="B82" s="704"/>
      <c r="C82" s="684"/>
      <c r="D82" s="684"/>
      <c r="E82" s="684"/>
      <c r="F82" s="684"/>
      <c r="G82" s="684"/>
      <c r="H82" s="683"/>
      <c r="I82" s="683"/>
      <c r="J82" s="683"/>
      <c r="K82" s="683"/>
      <c r="L82" s="683"/>
      <c r="M82" s="683"/>
      <c r="N82" s="683"/>
      <c r="O82" s="683"/>
      <c r="P82" s="683"/>
      <c r="Q82" s="683"/>
      <c r="R82" s="683"/>
      <c r="S82" s="683"/>
      <c r="T82" s="683"/>
      <c r="U82" s="683"/>
      <c r="V82" s="683"/>
      <c r="W82" s="683"/>
      <c r="X82" s="683"/>
      <c r="Y82" s="683"/>
      <c r="Z82" s="683"/>
      <c r="AA82" s="683"/>
      <c r="AB82" s="683"/>
      <c r="AC82" s="683"/>
      <c r="AD82" s="683"/>
      <c r="AE82" s="683"/>
      <c r="AF82" s="683"/>
      <c r="AG82" s="739"/>
      <c r="AH82" s="739"/>
      <c r="AI82" s="683"/>
      <c r="AJ82" s="683"/>
      <c r="AK82" s="683"/>
      <c r="AL82" s="710"/>
      <c r="AM82" s="683"/>
      <c r="AN82" s="683"/>
    </row>
    <row r="83" spans="2:40" ht="15.75" x14ac:dyDescent="0.25">
      <c r="B83" s="704"/>
      <c r="C83" s="684"/>
      <c r="D83" s="684"/>
      <c r="E83" s="684"/>
      <c r="F83" s="684"/>
      <c r="G83" s="684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R83" s="683"/>
      <c r="S83" s="683"/>
      <c r="T83" s="683"/>
      <c r="U83" s="683"/>
      <c r="V83" s="683"/>
      <c r="W83" s="683"/>
      <c r="X83" s="683"/>
      <c r="Y83" s="683"/>
      <c r="Z83" s="683"/>
      <c r="AA83" s="683"/>
      <c r="AB83" s="682"/>
      <c r="AC83" s="683"/>
      <c r="AD83" s="683"/>
      <c r="AE83" s="683"/>
      <c r="AF83" s="683"/>
      <c r="AG83" s="739"/>
      <c r="AH83" s="739"/>
      <c r="AI83" s="683"/>
      <c r="AJ83" s="683"/>
      <c r="AK83" s="683"/>
      <c r="AL83" s="710"/>
      <c r="AM83" s="683"/>
      <c r="AN83" s="683"/>
    </row>
    <row r="84" spans="2:40" ht="15" x14ac:dyDescent="0.2">
      <c r="B84" s="704"/>
      <c r="C84" s="684"/>
      <c r="D84" s="684"/>
      <c r="E84" s="684"/>
      <c r="F84" s="684"/>
      <c r="G84" s="684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S84" s="683"/>
      <c r="T84" s="683"/>
      <c r="U84" s="683"/>
      <c r="V84" s="683"/>
      <c r="W84" s="683"/>
      <c r="X84" s="683"/>
      <c r="Y84" s="683"/>
      <c r="Z84" s="683"/>
      <c r="AA84" s="683"/>
      <c r="AB84" s="684"/>
      <c r="AC84" s="684"/>
      <c r="AD84" s="684"/>
      <c r="AE84" s="684"/>
      <c r="AF84" s="684"/>
      <c r="AI84" s="684"/>
      <c r="AJ84" s="684"/>
      <c r="AK84" s="684"/>
      <c r="AM84" s="684"/>
      <c r="AN84" s="684"/>
    </row>
    <row r="85" spans="2:40" ht="15.75" x14ac:dyDescent="0.25">
      <c r="B85" s="704"/>
      <c r="C85" s="684"/>
      <c r="D85" s="684"/>
      <c r="E85" s="684"/>
      <c r="F85" s="684"/>
      <c r="G85" s="684"/>
      <c r="H85" s="683"/>
      <c r="I85" s="683"/>
      <c r="J85" s="683"/>
      <c r="K85" s="683"/>
      <c r="L85" s="683"/>
      <c r="M85" s="683"/>
      <c r="N85" s="683"/>
      <c r="O85" s="683"/>
      <c r="P85" s="683"/>
      <c r="Q85" s="683"/>
      <c r="R85" s="683"/>
      <c r="S85" s="683"/>
      <c r="T85" s="683"/>
      <c r="U85" s="683"/>
      <c r="V85" s="683"/>
      <c r="W85" s="683"/>
      <c r="X85" s="683"/>
      <c r="Y85" s="683"/>
      <c r="Z85" s="683"/>
      <c r="AA85" s="683"/>
      <c r="AB85" s="705"/>
      <c r="AC85" s="684"/>
      <c r="AD85" s="684"/>
      <c r="AE85" s="684"/>
      <c r="AF85" s="684"/>
      <c r="AI85" s="684"/>
      <c r="AJ85" s="684"/>
      <c r="AK85" s="684"/>
      <c r="AM85" s="684"/>
      <c r="AN85" s="684"/>
    </row>
    <row r="86" spans="2:40" x14ac:dyDescent="0.2">
      <c r="B86" s="704"/>
      <c r="C86" s="684"/>
      <c r="D86" s="684"/>
      <c r="E86" s="684"/>
      <c r="F86" s="684"/>
      <c r="G86" s="684"/>
      <c r="H86" s="684"/>
      <c r="I86" s="684"/>
      <c r="J86" s="684"/>
      <c r="K86" s="684"/>
      <c r="L86" s="684"/>
      <c r="M86" s="684"/>
      <c r="N86" s="684"/>
      <c r="O86" s="684"/>
      <c r="P86" s="684"/>
      <c r="Q86" s="684"/>
      <c r="R86" s="684"/>
      <c r="S86" s="684"/>
      <c r="T86" s="684"/>
      <c r="U86" s="684"/>
      <c r="V86" s="684"/>
      <c r="W86" s="684"/>
      <c r="X86" s="684"/>
      <c r="Y86" s="684"/>
      <c r="Z86" s="684"/>
      <c r="AA86" s="684"/>
      <c r="AB86" s="684"/>
      <c r="AC86" s="684"/>
      <c r="AD86" s="684"/>
      <c r="AE86" s="684"/>
      <c r="AF86" s="684"/>
      <c r="AI86" s="684"/>
      <c r="AJ86" s="684"/>
      <c r="AK86" s="684"/>
      <c r="AM86" s="684"/>
      <c r="AN86" s="684"/>
    </row>
    <row r="87" spans="2:40" x14ac:dyDescent="0.2">
      <c r="B87" s="704"/>
      <c r="C87" s="684"/>
      <c r="D87" s="684"/>
      <c r="E87" s="684"/>
      <c r="F87" s="684"/>
      <c r="G87" s="684"/>
      <c r="H87" s="684"/>
      <c r="I87" s="684"/>
      <c r="J87" s="684"/>
      <c r="K87" s="684"/>
      <c r="L87" s="684"/>
      <c r="M87" s="684"/>
      <c r="N87" s="684"/>
      <c r="O87" s="684"/>
      <c r="P87" s="684"/>
      <c r="Q87" s="684"/>
      <c r="R87" s="684"/>
      <c r="S87" s="684"/>
      <c r="T87" s="684"/>
      <c r="U87" s="684"/>
      <c r="V87" s="684"/>
      <c r="W87" s="684"/>
      <c r="X87" s="684"/>
      <c r="Y87" s="684"/>
      <c r="Z87" s="684"/>
      <c r="AA87" s="684"/>
      <c r="AB87" s="684"/>
      <c r="AC87" s="684"/>
      <c r="AD87" s="684"/>
      <c r="AE87" s="684"/>
      <c r="AF87" s="684"/>
      <c r="AI87" s="684"/>
      <c r="AJ87" s="684"/>
      <c r="AK87" s="684"/>
      <c r="AM87" s="684"/>
      <c r="AN87" s="684"/>
    </row>
    <row r="88" spans="2:40" x14ac:dyDescent="0.2">
      <c r="B88" s="704"/>
      <c r="C88" s="684"/>
      <c r="D88" s="684"/>
      <c r="E88" s="684"/>
      <c r="F88" s="684"/>
      <c r="G88" s="684"/>
      <c r="H88" s="684"/>
      <c r="I88" s="684"/>
      <c r="J88" s="684"/>
      <c r="K88" s="684"/>
      <c r="L88" s="684"/>
      <c r="M88" s="684"/>
      <c r="N88" s="684"/>
      <c r="O88" s="684"/>
      <c r="P88" s="684"/>
      <c r="Q88" s="684"/>
      <c r="R88" s="684"/>
      <c r="S88" s="684"/>
      <c r="T88" s="684"/>
      <c r="U88" s="684"/>
      <c r="V88" s="684"/>
      <c r="W88" s="684"/>
      <c r="X88" s="684"/>
      <c r="Y88" s="684"/>
      <c r="Z88" s="684"/>
      <c r="AA88" s="684"/>
      <c r="AB88" s="684"/>
      <c r="AC88" s="684"/>
      <c r="AD88" s="684"/>
      <c r="AE88" s="684"/>
      <c r="AF88" s="684"/>
      <c r="AI88" s="684"/>
      <c r="AJ88" s="684"/>
      <c r="AK88" s="684"/>
      <c r="AM88" s="684"/>
      <c r="AN88" s="684"/>
    </row>
  </sheetData>
  <sheetProtection selectLockedCells="1" selectUnlockedCells="1"/>
  <autoFilter ref="A9:AN54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sortState ref="A12:AN54">
      <sortCondition descending="1" ref="AN9:AN54"/>
    </sortState>
  </autoFilter>
  <sortState ref="A30:AP32">
    <sortCondition ref="A30"/>
  </sortState>
  <mergeCells count="33">
    <mergeCell ref="C10:D10"/>
    <mergeCell ref="U10:V10"/>
    <mergeCell ref="A9:A10"/>
    <mergeCell ref="AN9:AN10"/>
    <mergeCell ref="AG10:AI10"/>
    <mergeCell ref="AA10:AB10"/>
    <mergeCell ref="W10:X10"/>
    <mergeCell ref="Y10:Z10"/>
    <mergeCell ref="E10:F10"/>
    <mergeCell ref="G10:H10"/>
    <mergeCell ref="AC10:AD10"/>
    <mergeCell ref="AE10:AF10"/>
    <mergeCell ref="I10:J10"/>
    <mergeCell ref="K10:L10"/>
    <mergeCell ref="B9:B10"/>
    <mergeCell ref="S10:T10"/>
    <mergeCell ref="M10:N10"/>
    <mergeCell ref="O10:P10"/>
    <mergeCell ref="Q10:R10"/>
    <mergeCell ref="K9:X9"/>
    <mergeCell ref="Y9:AM9"/>
    <mergeCell ref="AL10:AM10"/>
    <mergeCell ref="AJ10:AK10"/>
    <mergeCell ref="C9:J9"/>
    <mergeCell ref="A1:AN1"/>
    <mergeCell ref="A2:AN2"/>
    <mergeCell ref="A3:AN3"/>
    <mergeCell ref="A4:AN4"/>
    <mergeCell ref="A8:B8"/>
    <mergeCell ref="C8:AN8"/>
    <mergeCell ref="A5:AN5"/>
    <mergeCell ref="A6:AN6"/>
    <mergeCell ref="AJ7:AN7"/>
  </mergeCells>
  <phoneticPr fontId="33" type="noConversion"/>
  <pageMargins left="0.35433070866141736" right="0.15748031496062992" top="0.35433070866141736" bottom="0.62992125984251968" header="0.51181102362204722" footer="0.51181102362204722"/>
  <pageSetup paperSize="9" scale="80" firstPageNumber="0" fitToHeight="0" orientation="landscape" r:id="rId1"/>
  <headerFooter alignWithMargins="0"/>
  <rowBreaks count="2" manualBreakCount="2">
    <brk id="63" max="39" man="1"/>
    <brk id="64" max="39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3"/>
  <sheetViews>
    <sheetView tabSelected="1" topLeftCell="A41" zoomScale="110" zoomScaleSheetLayoutView="110" workbookViewId="0">
      <selection activeCell="I52" sqref="I52"/>
    </sheetView>
  </sheetViews>
  <sheetFormatPr defaultRowHeight="12.75" x14ac:dyDescent="0.2"/>
  <cols>
    <col min="1" max="1" width="6.28515625" customWidth="1"/>
    <col min="2" max="2" width="16.28515625" customWidth="1"/>
    <col min="3" max="3" width="18.42578125" customWidth="1"/>
    <col min="4" max="4" width="23.7109375" customWidth="1"/>
    <col min="5" max="5" width="16.140625" customWidth="1"/>
    <col min="6" max="6" width="22.140625" customWidth="1"/>
    <col min="7" max="7" width="16.28515625" customWidth="1"/>
  </cols>
  <sheetData>
    <row r="1" spans="1:40" x14ac:dyDescent="0.2">
      <c r="B1" s="186"/>
      <c r="C1" s="987" t="s">
        <v>0</v>
      </c>
      <c r="D1" s="987"/>
      <c r="E1" s="987"/>
      <c r="F1" s="987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x14ac:dyDescent="0.2">
      <c r="B2" s="186"/>
      <c r="C2" s="987" t="s">
        <v>101</v>
      </c>
      <c r="D2" s="987"/>
      <c r="E2" s="987"/>
      <c r="F2" s="987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7"/>
    </row>
    <row r="3" spans="1:40" ht="25.15" customHeight="1" x14ac:dyDescent="0.2">
      <c r="B3" s="774"/>
      <c r="C3" s="1107" t="s">
        <v>531</v>
      </c>
      <c r="D3" s="1107"/>
      <c r="E3" s="1107"/>
      <c r="F3" s="1107"/>
      <c r="G3" s="777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  <c r="AD3" s="515"/>
      <c r="AE3" s="515"/>
      <c r="AF3" s="515"/>
      <c r="AG3" s="515"/>
      <c r="AH3" s="515"/>
      <c r="AI3" s="515"/>
      <c r="AJ3" s="515"/>
      <c r="AK3" s="515"/>
      <c r="AL3" s="515"/>
      <c r="AM3" s="515"/>
      <c r="AN3" s="515"/>
    </row>
    <row r="4" spans="1:40" ht="27.6" customHeight="1" x14ac:dyDescent="0.2">
      <c r="B4" s="774"/>
      <c r="C4" s="1107" t="s">
        <v>532</v>
      </c>
      <c r="D4" s="1107"/>
      <c r="E4" s="1107"/>
      <c r="F4" s="1107"/>
      <c r="G4" s="774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515"/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  <c r="AD4" s="515"/>
      <c r="AE4" s="515"/>
      <c r="AF4" s="515"/>
      <c r="AG4" s="515"/>
      <c r="AH4" s="515"/>
      <c r="AI4" s="515"/>
      <c r="AJ4" s="515"/>
      <c r="AK4" s="515"/>
      <c r="AL4" s="515"/>
      <c r="AM4" s="515"/>
      <c r="AN4" s="515"/>
    </row>
    <row r="5" spans="1:40" ht="18.75" x14ac:dyDescent="0.3">
      <c r="B5" s="907"/>
      <c r="C5" s="1087" t="s">
        <v>472</v>
      </c>
      <c r="D5" s="1087"/>
      <c r="E5" s="1087"/>
      <c r="F5" s="1087"/>
      <c r="G5" s="907"/>
      <c r="H5" s="516"/>
      <c r="I5" s="516"/>
      <c r="J5" s="516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</row>
    <row r="6" spans="1:40" ht="19.5" customHeight="1" x14ac:dyDescent="0.2">
      <c r="B6" s="774"/>
      <c r="C6" s="1091" t="s">
        <v>555</v>
      </c>
      <c r="D6" s="1091"/>
      <c r="E6" s="1091"/>
      <c r="F6" s="1091"/>
      <c r="G6" s="774"/>
      <c r="H6" s="515"/>
      <c r="I6" s="515"/>
      <c r="J6" s="515"/>
      <c r="K6" s="458"/>
      <c r="L6" s="458"/>
      <c r="M6" s="458"/>
      <c r="N6" s="458"/>
      <c r="O6" s="458"/>
      <c r="P6" s="458"/>
      <c r="Q6" s="458"/>
      <c r="R6" s="458"/>
      <c r="S6" s="458"/>
      <c r="T6" s="458"/>
      <c r="U6" s="458"/>
      <c r="V6" s="458"/>
      <c r="W6" s="458"/>
      <c r="X6" s="458"/>
      <c r="Y6" s="458"/>
      <c r="Z6" s="458"/>
      <c r="AA6" s="458"/>
      <c r="AB6" s="458"/>
      <c r="AC6" s="458"/>
      <c r="AD6" s="458"/>
      <c r="AE6" s="458"/>
      <c r="AF6" s="458"/>
      <c r="AG6" s="458"/>
      <c r="AH6" s="458"/>
      <c r="AI6" s="458"/>
      <c r="AJ6" s="458"/>
      <c r="AK6" s="458"/>
      <c r="AL6" s="458"/>
      <c r="AM6" s="458"/>
      <c r="AN6" s="458"/>
    </row>
    <row r="7" spans="1:40" ht="13.5" x14ac:dyDescent="0.25">
      <c r="A7" s="970" t="s">
        <v>529</v>
      </c>
      <c r="B7" s="970"/>
      <c r="C7" s="913"/>
      <c r="D7" s="913"/>
      <c r="E7" s="906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  <c r="Q7" s="906"/>
      <c r="R7" s="906"/>
      <c r="S7" s="906"/>
      <c r="T7" s="906"/>
      <c r="U7" s="906"/>
      <c r="V7" s="906"/>
      <c r="W7" s="906"/>
      <c r="X7" s="906"/>
      <c r="Y7" s="906"/>
      <c r="Z7" s="912"/>
      <c r="AA7" s="912"/>
      <c r="AB7" s="912"/>
      <c r="AC7" s="912"/>
      <c r="AD7" s="912"/>
      <c r="AE7" s="912"/>
      <c r="AF7" s="912"/>
      <c r="AG7" s="459" t="s">
        <v>113</v>
      </c>
      <c r="AH7" s="210"/>
      <c r="AI7" s="210"/>
      <c r="AJ7" s="210"/>
      <c r="AK7" s="210"/>
      <c r="AL7" s="210"/>
      <c r="AM7" s="210"/>
      <c r="AN7" s="912"/>
    </row>
    <row r="8" spans="1:40" x14ac:dyDescent="0.2">
      <c r="A8" s="989" t="s">
        <v>530</v>
      </c>
      <c r="B8" s="989"/>
      <c r="C8" s="210"/>
      <c r="D8" s="210"/>
      <c r="E8" s="210"/>
      <c r="F8" s="210"/>
      <c r="G8" s="210"/>
    </row>
    <row r="10" spans="1:40" ht="25.5" x14ac:dyDescent="0.2">
      <c r="A10" s="407" t="s">
        <v>460</v>
      </c>
      <c r="B10" s="407" t="s">
        <v>461</v>
      </c>
      <c r="C10" s="407" t="s">
        <v>462</v>
      </c>
      <c r="D10" s="407" t="s">
        <v>463</v>
      </c>
      <c r="E10" s="454" t="s">
        <v>485</v>
      </c>
      <c r="F10" s="407" t="s">
        <v>464</v>
      </c>
      <c r="G10" s="455" t="s">
        <v>465</v>
      </c>
    </row>
    <row r="11" spans="1:40" s="740" customFormat="1" x14ac:dyDescent="0.2">
      <c r="A11" s="734">
        <v>1</v>
      </c>
      <c r="B11" s="780" t="s">
        <v>210</v>
      </c>
      <c r="C11" s="930" t="s">
        <v>466</v>
      </c>
      <c r="D11" s="780" t="s">
        <v>75</v>
      </c>
      <c r="E11" s="780" t="s">
        <v>432</v>
      </c>
      <c r="F11" s="931" t="s">
        <v>867</v>
      </c>
      <c r="G11" s="780" t="s">
        <v>868</v>
      </c>
    </row>
    <row r="12" spans="1:40" x14ac:dyDescent="0.2">
      <c r="A12" s="926">
        <v>2</v>
      </c>
      <c r="B12" s="429" t="s">
        <v>557</v>
      </c>
      <c r="C12" s="928" t="s">
        <v>466</v>
      </c>
      <c r="D12" s="429" t="s">
        <v>76</v>
      </c>
      <c r="E12" s="429" t="s">
        <v>432</v>
      </c>
      <c r="F12" s="932" t="s">
        <v>867</v>
      </c>
      <c r="G12" s="780" t="s">
        <v>868</v>
      </c>
    </row>
    <row r="13" spans="1:40" x14ac:dyDescent="0.2">
      <c r="A13" s="734">
        <v>3</v>
      </c>
      <c r="B13" s="456" t="s">
        <v>119</v>
      </c>
      <c r="C13" s="928" t="s">
        <v>466</v>
      </c>
      <c r="D13" s="429" t="s">
        <v>467</v>
      </c>
      <c r="E13" s="429" t="s">
        <v>473</v>
      </c>
      <c r="F13" s="932" t="s">
        <v>869</v>
      </c>
      <c r="G13" s="429" t="s">
        <v>870</v>
      </c>
    </row>
    <row r="14" spans="1:40" x14ac:dyDescent="0.2">
      <c r="A14" s="926">
        <v>4</v>
      </c>
      <c r="B14" s="429" t="s">
        <v>49</v>
      </c>
      <c r="C14" s="928" t="s">
        <v>466</v>
      </c>
      <c r="D14" s="429" t="s">
        <v>468</v>
      </c>
      <c r="E14" s="429" t="s">
        <v>439</v>
      </c>
      <c r="F14" s="932" t="s">
        <v>871</v>
      </c>
      <c r="G14" s="429" t="s">
        <v>870</v>
      </c>
    </row>
    <row r="15" spans="1:40" x14ac:dyDescent="0.2">
      <c r="A15" s="734">
        <v>5</v>
      </c>
      <c r="B15" s="429" t="s">
        <v>239</v>
      </c>
      <c r="C15" s="928" t="s">
        <v>466</v>
      </c>
      <c r="D15" s="456" t="s">
        <v>474</v>
      </c>
      <c r="E15" s="429" t="s">
        <v>129</v>
      </c>
      <c r="F15" s="932" t="s">
        <v>558</v>
      </c>
      <c r="G15" s="429" t="s">
        <v>870</v>
      </c>
    </row>
    <row r="16" spans="1:40" x14ac:dyDescent="0.2">
      <c r="A16" s="926">
        <v>6</v>
      </c>
      <c r="B16" s="429" t="s">
        <v>29</v>
      </c>
      <c r="C16" s="928" t="s">
        <v>466</v>
      </c>
      <c r="D16" s="456" t="s">
        <v>474</v>
      </c>
      <c r="E16" s="429" t="s">
        <v>120</v>
      </c>
      <c r="F16" s="932" t="s">
        <v>558</v>
      </c>
      <c r="G16" s="429" t="s">
        <v>870</v>
      </c>
    </row>
    <row r="17" spans="1:7" x14ac:dyDescent="0.2">
      <c r="A17" s="734">
        <v>7</v>
      </c>
      <c r="B17" s="456" t="s">
        <v>680</v>
      </c>
      <c r="C17" s="695" t="s">
        <v>466</v>
      </c>
      <c r="D17" s="456" t="s">
        <v>474</v>
      </c>
      <c r="E17" s="460" t="s">
        <v>140</v>
      </c>
      <c r="F17" s="932" t="s">
        <v>558</v>
      </c>
      <c r="G17" s="429" t="s">
        <v>868</v>
      </c>
    </row>
    <row r="18" spans="1:7" x14ac:dyDescent="0.2">
      <c r="A18" s="926">
        <v>8</v>
      </c>
      <c r="B18" s="429" t="s">
        <v>559</v>
      </c>
      <c r="C18" s="928" t="s">
        <v>469</v>
      </c>
      <c r="D18" s="429" t="s">
        <v>471</v>
      </c>
      <c r="E18" s="429" t="s">
        <v>432</v>
      </c>
      <c r="F18" s="932" t="s">
        <v>558</v>
      </c>
      <c r="G18" s="429" t="s">
        <v>868</v>
      </c>
    </row>
    <row r="19" spans="1:7" x14ac:dyDescent="0.2">
      <c r="A19" s="734">
        <v>9</v>
      </c>
      <c r="B19" s="456" t="s">
        <v>96</v>
      </c>
      <c r="C19" s="928" t="s">
        <v>466</v>
      </c>
      <c r="D19" s="429" t="s">
        <v>471</v>
      </c>
      <c r="E19" s="429" t="s">
        <v>439</v>
      </c>
      <c r="F19" s="932" t="s">
        <v>558</v>
      </c>
      <c r="G19" s="429" t="s">
        <v>870</v>
      </c>
    </row>
    <row r="20" spans="1:7" x14ac:dyDescent="0.2">
      <c r="A20" s="926">
        <v>10</v>
      </c>
      <c r="B20" s="927" t="s">
        <v>235</v>
      </c>
      <c r="C20" s="928" t="s">
        <v>466</v>
      </c>
      <c r="D20" s="429" t="s">
        <v>471</v>
      </c>
      <c r="E20" s="429" t="s">
        <v>470</v>
      </c>
      <c r="F20" s="932" t="s">
        <v>558</v>
      </c>
      <c r="G20" s="429" t="s">
        <v>868</v>
      </c>
    </row>
    <row r="21" spans="1:7" x14ac:dyDescent="0.2">
      <c r="A21" s="734">
        <v>11</v>
      </c>
      <c r="B21" s="927" t="s">
        <v>475</v>
      </c>
      <c r="C21" s="928" t="s">
        <v>466</v>
      </c>
      <c r="D21" s="429" t="s">
        <v>471</v>
      </c>
      <c r="E21" s="429" t="s">
        <v>147</v>
      </c>
      <c r="F21" s="932" t="s">
        <v>558</v>
      </c>
      <c r="G21" s="429" t="s">
        <v>870</v>
      </c>
    </row>
    <row r="22" spans="1:7" x14ac:dyDescent="0.2">
      <c r="A22" s="926">
        <v>12</v>
      </c>
      <c r="B22" s="927" t="s">
        <v>846</v>
      </c>
      <c r="C22" s="928" t="s">
        <v>469</v>
      </c>
      <c r="D22" s="429" t="s">
        <v>471</v>
      </c>
      <c r="E22" s="429" t="s">
        <v>432</v>
      </c>
      <c r="F22" s="932" t="s">
        <v>558</v>
      </c>
      <c r="G22" s="429" t="s">
        <v>868</v>
      </c>
    </row>
    <row r="23" spans="1:7" x14ac:dyDescent="0.2">
      <c r="A23" s="734">
        <v>13</v>
      </c>
      <c r="B23" s="927" t="s">
        <v>201</v>
      </c>
      <c r="C23" s="928" t="s">
        <v>466</v>
      </c>
      <c r="D23" s="429" t="s">
        <v>471</v>
      </c>
      <c r="E23" s="429" t="s">
        <v>199</v>
      </c>
      <c r="F23" s="932" t="s">
        <v>558</v>
      </c>
      <c r="G23" s="429" t="s">
        <v>870</v>
      </c>
    </row>
    <row r="24" spans="1:7" ht="12.75" customHeight="1" x14ac:dyDescent="0.2">
      <c r="A24" s="926">
        <v>14</v>
      </c>
      <c r="B24" s="927" t="s">
        <v>872</v>
      </c>
      <c r="C24" s="928" t="s">
        <v>466</v>
      </c>
      <c r="D24" s="429" t="s">
        <v>471</v>
      </c>
      <c r="E24" s="429" t="s">
        <v>473</v>
      </c>
      <c r="F24" s="932" t="s">
        <v>558</v>
      </c>
      <c r="G24" s="429" t="s">
        <v>870</v>
      </c>
    </row>
    <row r="25" spans="1:7" ht="12.75" customHeight="1" x14ac:dyDescent="0.2">
      <c r="A25" s="734">
        <v>15</v>
      </c>
      <c r="B25" s="927" t="s">
        <v>847</v>
      </c>
      <c r="C25" s="928" t="s">
        <v>466</v>
      </c>
      <c r="D25" s="429" t="s">
        <v>471</v>
      </c>
      <c r="E25" s="429" t="s">
        <v>848</v>
      </c>
      <c r="F25" s="932" t="s">
        <v>558</v>
      </c>
      <c r="G25" s="429" t="s">
        <v>870</v>
      </c>
    </row>
    <row r="26" spans="1:7" x14ac:dyDescent="0.2">
      <c r="A26" s="926">
        <v>16</v>
      </c>
      <c r="B26" s="927" t="s">
        <v>124</v>
      </c>
      <c r="C26" s="928" t="s">
        <v>469</v>
      </c>
      <c r="D26" s="429" t="s">
        <v>471</v>
      </c>
      <c r="E26" s="429" t="s">
        <v>122</v>
      </c>
      <c r="F26" s="932" t="s">
        <v>558</v>
      </c>
      <c r="G26" s="429" t="s">
        <v>870</v>
      </c>
    </row>
    <row r="27" spans="1:7" x14ac:dyDescent="0.2">
      <c r="A27" s="734">
        <v>17</v>
      </c>
      <c r="B27" s="927" t="s">
        <v>849</v>
      </c>
      <c r="C27" s="928" t="s">
        <v>469</v>
      </c>
      <c r="D27" s="429" t="s">
        <v>471</v>
      </c>
      <c r="E27" s="429" t="s">
        <v>152</v>
      </c>
      <c r="F27" s="932" t="s">
        <v>558</v>
      </c>
      <c r="G27" s="429" t="s">
        <v>870</v>
      </c>
    </row>
    <row r="28" spans="1:7" x14ac:dyDescent="0.2">
      <c r="A28" s="926">
        <v>18</v>
      </c>
      <c r="B28" s="927" t="s">
        <v>773</v>
      </c>
      <c r="C28" s="928" t="s">
        <v>469</v>
      </c>
      <c r="D28" s="429" t="s">
        <v>471</v>
      </c>
      <c r="E28" s="429" t="s">
        <v>331</v>
      </c>
      <c r="F28" s="932" t="s">
        <v>558</v>
      </c>
      <c r="G28" s="429" t="s">
        <v>870</v>
      </c>
    </row>
    <row r="29" spans="1:7" x14ac:dyDescent="0.2">
      <c r="A29" s="734">
        <v>19</v>
      </c>
      <c r="B29" s="927" t="s">
        <v>850</v>
      </c>
      <c r="C29" s="928" t="s">
        <v>469</v>
      </c>
      <c r="D29" s="429" t="s">
        <v>471</v>
      </c>
      <c r="E29" s="429" t="s">
        <v>851</v>
      </c>
      <c r="F29" s="932" t="s">
        <v>558</v>
      </c>
      <c r="G29" s="429" t="s">
        <v>868</v>
      </c>
    </row>
    <row r="30" spans="1:7" x14ac:dyDescent="0.2">
      <c r="A30" s="926">
        <v>20</v>
      </c>
      <c r="B30" s="927" t="s">
        <v>852</v>
      </c>
      <c r="C30" s="928" t="s">
        <v>469</v>
      </c>
      <c r="D30" s="429" t="s">
        <v>471</v>
      </c>
      <c r="E30" s="429" t="s">
        <v>848</v>
      </c>
      <c r="F30" s="932" t="s">
        <v>558</v>
      </c>
      <c r="G30" s="429" t="s">
        <v>868</v>
      </c>
    </row>
    <row r="31" spans="1:7" x14ac:dyDescent="0.2">
      <c r="A31" s="734">
        <v>21</v>
      </c>
      <c r="B31" s="927" t="s">
        <v>853</v>
      </c>
      <c r="C31" s="928" t="s">
        <v>469</v>
      </c>
      <c r="D31" s="429" t="s">
        <v>471</v>
      </c>
      <c r="E31" s="429" t="s">
        <v>854</v>
      </c>
      <c r="F31" s="932" t="s">
        <v>558</v>
      </c>
      <c r="G31" s="429" t="s">
        <v>870</v>
      </c>
    </row>
    <row r="32" spans="1:7" x14ac:dyDescent="0.2">
      <c r="A32" s="926">
        <v>22</v>
      </c>
      <c r="B32" s="927" t="s">
        <v>662</v>
      </c>
      <c r="C32" s="928" t="s">
        <v>469</v>
      </c>
      <c r="D32" s="429" t="s">
        <v>471</v>
      </c>
      <c r="E32" s="429" t="s">
        <v>855</v>
      </c>
      <c r="F32" s="932" t="s">
        <v>558</v>
      </c>
      <c r="G32" s="429" t="s">
        <v>870</v>
      </c>
    </row>
    <row r="33" spans="1:7" x14ac:dyDescent="0.2">
      <c r="A33" s="734">
        <v>23</v>
      </c>
      <c r="B33" s="927" t="s">
        <v>856</v>
      </c>
      <c r="C33" s="928" t="s">
        <v>469</v>
      </c>
      <c r="D33" s="429" t="s">
        <v>471</v>
      </c>
      <c r="E33" s="429" t="s">
        <v>189</v>
      </c>
      <c r="F33" s="932" t="s">
        <v>558</v>
      </c>
      <c r="G33" s="429" t="s">
        <v>870</v>
      </c>
    </row>
    <row r="34" spans="1:7" ht="12.75" customHeight="1" x14ac:dyDescent="0.2">
      <c r="A34" s="926">
        <v>24</v>
      </c>
      <c r="B34" s="927" t="s">
        <v>857</v>
      </c>
      <c r="C34" s="928" t="s">
        <v>469</v>
      </c>
      <c r="D34" s="429" t="s">
        <v>471</v>
      </c>
      <c r="E34" s="429" t="s">
        <v>237</v>
      </c>
      <c r="F34" s="932" t="s">
        <v>558</v>
      </c>
      <c r="G34" s="429" t="s">
        <v>868</v>
      </c>
    </row>
    <row r="35" spans="1:7" ht="12.75" customHeight="1" x14ac:dyDescent="0.2">
      <c r="A35" s="734">
        <v>25</v>
      </c>
      <c r="B35" s="927" t="s">
        <v>858</v>
      </c>
      <c r="C35" s="928" t="s">
        <v>469</v>
      </c>
      <c r="D35" s="429" t="s">
        <v>471</v>
      </c>
      <c r="E35" s="429" t="s">
        <v>848</v>
      </c>
      <c r="F35" s="932" t="s">
        <v>558</v>
      </c>
      <c r="G35" s="429" t="s">
        <v>870</v>
      </c>
    </row>
    <row r="36" spans="1:7" ht="12.75" customHeight="1" x14ac:dyDescent="0.2">
      <c r="A36" s="926">
        <v>26</v>
      </c>
      <c r="B36" s="927" t="s">
        <v>859</v>
      </c>
      <c r="C36" s="928" t="s">
        <v>469</v>
      </c>
      <c r="D36" s="429" t="s">
        <v>471</v>
      </c>
      <c r="E36" s="429" t="s">
        <v>237</v>
      </c>
      <c r="F36" s="932" t="s">
        <v>558</v>
      </c>
      <c r="G36" s="429" t="s">
        <v>870</v>
      </c>
    </row>
    <row r="37" spans="1:7" ht="12.75" customHeight="1" x14ac:dyDescent="0.2">
      <c r="A37" s="734">
        <v>27</v>
      </c>
      <c r="B37" s="927" t="s">
        <v>860</v>
      </c>
      <c r="C37" s="928" t="s">
        <v>469</v>
      </c>
      <c r="D37" s="429" t="s">
        <v>471</v>
      </c>
      <c r="E37" s="429" t="s">
        <v>477</v>
      </c>
      <c r="F37" s="932" t="s">
        <v>558</v>
      </c>
      <c r="G37" s="429" t="s">
        <v>870</v>
      </c>
    </row>
    <row r="38" spans="1:7" ht="12.75" customHeight="1" x14ac:dyDescent="0.2">
      <c r="A38" s="926">
        <v>28</v>
      </c>
      <c r="B38" s="927" t="s">
        <v>861</v>
      </c>
      <c r="C38" s="928" t="s">
        <v>469</v>
      </c>
      <c r="D38" s="429" t="s">
        <v>471</v>
      </c>
      <c r="E38" s="429" t="s">
        <v>432</v>
      </c>
      <c r="F38" s="932" t="s">
        <v>558</v>
      </c>
      <c r="G38" s="429" t="s">
        <v>868</v>
      </c>
    </row>
    <row r="39" spans="1:7" ht="13.5" customHeight="1" x14ac:dyDescent="0.2">
      <c r="A39" s="734">
        <v>29</v>
      </c>
      <c r="B39" s="927" t="s">
        <v>862</v>
      </c>
      <c r="C39" s="928" t="s">
        <v>469</v>
      </c>
      <c r="D39" s="429" t="s">
        <v>471</v>
      </c>
      <c r="E39" s="429" t="s">
        <v>432</v>
      </c>
      <c r="F39" s="932" t="s">
        <v>558</v>
      </c>
      <c r="G39" s="429" t="s">
        <v>870</v>
      </c>
    </row>
    <row r="40" spans="1:7" x14ac:dyDescent="0.2">
      <c r="A40" s="926">
        <v>30</v>
      </c>
      <c r="B40" s="429" t="s">
        <v>863</v>
      </c>
      <c r="C40" s="928" t="s">
        <v>469</v>
      </c>
      <c r="D40" s="429" t="s">
        <v>471</v>
      </c>
      <c r="E40" s="429" t="s">
        <v>439</v>
      </c>
      <c r="F40" s="932" t="s">
        <v>558</v>
      </c>
      <c r="G40" s="429" t="s">
        <v>870</v>
      </c>
    </row>
    <row r="41" spans="1:7" x14ac:dyDescent="0.2">
      <c r="A41" s="734">
        <v>31</v>
      </c>
      <c r="B41" s="429" t="s">
        <v>864</v>
      </c>
      <c r="C41" s="928" t="s">
        <v>469</v>
      </c>
      <c r="D41" s="429" t="s">
        <v>471</v>
      </c>
      <c r="E41" s="429" t="s">
        <v>152</v>
      </c>
      <c r="F41" s="932" t="s">
        <v>558</v>
      </c>
      <c r="G41" s="429" t="s">
        <v>870</v>
      </c>
    </row>
    <row r="42" spans="1:7" x14ac:dyDescent="0.2">
      <c r="A42" s="926">
        <v>32</v>
      </c>
      <c r="B42" s="429" t="s">
        <v>865</v>
      </c>
      <c r="C42" s="928" t="s">
        <v>469</v>
      </c>
      <c r="D42" s="429" t="s">
        <v>471</v>
      </c>
      <c r="E42" s="429" t="s">
        <v>152</v>
      </c>
      <c r="F42" s="932" t="s">
        <v>558</v>
      </c>
      <c r="G42" s="429" t="s">
        <v>870</v>
      </c>
    </row>
    <row r="43" spans="1:7" x14ac:dyDescent="0.2">
      <c r="A43" s="734">
        <v>33</v>
      </c>
      <c r="B43" s="429" t="s">
        <v>636</v>
      </c>
      <c r="C43" s="928" t="s">
        <v>469</v>
      </c>
      <c r="D43" s="429" t="s">
        <v>471</v>
      </c>
      <c r="E43" s="429" t="s">
        <v>152</v>
      </c>
      <c r="F43" s="932" t="s">
        <v>558</v>
      </c>
      <c r="G43" s="429" t="s">
        <v>870</v>
      </c>
    </row>
    <row r="44" spans="1:7" x14ac:dyDescent="0.2">
      <c r="A44" s="926">
        <v>34</v>
      </c>
      <c r="B44" s="429" t="s">
        <v>866</v>
      </c>
      <c r="C44" s="928" t="s">
        <v>469</v>
      </c>
      <c r="D44" s="429" t="s">
        <v>471</v>
      </c>
      <c r="E44" s="429" t="s">
        <v>237</v>
      </c>
      <c r="F44" s="932" t="s">
        <v>558</v>
      </c>
      <c r="G44" s="429" t="s">
        <v>870</v>
      </c>
    </row>
    <row r="45" spans="1:7" x14ac:dyDescent="0.2">
      <c r="A45" s="734">
        <v>35</v>
      </c>
      <c r="B45" s="429" t="s">
        <v>873</v>
      </c>
      <c r="C45" s="928" t="s">
        <v>469</v>
      </c>
      <c r="D45" s="429" t="s">
        <v>471</v>
      </c>
      <c r="E45" s="429" t="s">
        <v>237</v>
      </c>
      <c r="F45" s="932" t="s">
        <v>558</v>
      </c>
      <c r="G45" s="429" t="s">
        <v>870</v>
      </c>
    </row>
    <row r="46" spans="1:7" x14ac:dyDescent="0.2">
      <c r="A46" s="734">
        <v>36</v>
      </c>
      <c r="B46" s="429" t="s">
        <v>874</v>
      </c>
      <c r="C46" s="928" t="s">
        <v>469</v>
      </c>
      <c r="D46" s="429" t="s">
        <v>471</v>
      </c>
      <c r="E46" s="429" t="s">
        <v>237</v>
      </c>
      <c r="F46" s="932" t="s">
        <v>558</v>
      </c>
      <c r="G46" s="429" t="s">
        <v>870</v>
      </c>
    </row>
    <row r="47" spans="1:7" x14ac:dyDescent="0.2">
      <c r="A47" s="734">
        <v>37</v>
      </c>
      <c r="B47" s="429" t="s">
        <v>875</v>
      </c>
      <c r="C47" s="928" t="s">
        <v>469</v>
      </c>
      <c r="D47" s="429" t="s">
        <v>471</v>
      </c>
      <c r="E47" s="429" t="s">
        <v>292</v>
      </c>
      <c r="F47" s="932" t="s">
        <v>558</v>
      </c>
      <c r="G47" s="429" t="s">
        <v>870</v>
      </c>
    </row>
    <row r="48" spans="1:7" x14ac:dyDescent="0.2">
      <c r="A48" s="734">
        <v>38</v>
      </c>
      <c r="B48" s="429" t="s">
        <v>876</v>
      </c>
      <c r="C48" s="928" t="s">
        <v>469</v>
      </c>
      <c r="D48" s="429" t="s">
        <v>471</v>
      </c>
      <c r="E48" s="429" t="s">
        <v>172</v>
      </c>
      <c r="F48" s="932" t="s">
        <v>558</v>
      </c>
      <c r="G48" s="429" t="s">
        <v>870</v>
      </c>
    </row>
    <row r="49" spans="1:7" x14ac:dyDescent="0.2">
      <c r="A49" s="1108">
        <v>39</v>
      </c>
      <c r="B49" s="429" t="s">
        <v>87</v>
      </c>
      <c r="C49" s="290" t="s">
        <v>466</v>
      </c>
      <c r="D49" s="429" t="s">
        <v>471</v>
      </c>
      <c r="E49" s="429" t="s">
        <v>172</v>
      </c>
      <c r="F49" s="932" t="s">
        <v>558</v>
      </c>
      <c r="G49" s="429" t="s">
        <v>870</v>
      </c>
    </row>
    <row r="51" spans="1:7" ht="13.5" x14ac:dyDescent="0.25">
      <c r="A51" s="214" t="s">
        <v>534</v>
      </c>
      <c r="B51" s="17"/>
      <c r="C51" s="17"/>
      <c r="D51" s="914"/>
      <c r="E51" s="914"/>
      <c r="F51" s="914"/>
      <c r="G51" s="914"/>
    </row>
    <row r="52" spans="1:7" ht="13.5" x14ac:dyDescent="0.25">
      <c r="A52" s="214"/>
      <c r="D52" s="17"/>
      <c r="E52" s="17"/>
      <c r="F52" s="17"/>
      <c r="G52" s="17"/>
    </row>
    <row r="53" spans="1:7" ht="13.5" x14ac:dyDescent="0.25">
      <c r="A53" s="214" t="s">
        <v>535</v>
      </c>
      <c r="B53" s="914"/>
      <c r="C53" s="914"/>
      <c r="D53" s="417"/>
      <c r="E53" s="417"/>
      <c r="G53" s="17"/>
    </row>
  </sheetData>
  <mergeCells count="8">
    <mergeCell ref="A7:B7"/>
    <mergeCell ref="A8:B8"/>
    <mergeCell ref="C1:F1"/>
    <mergeCell ref="C2:F2"/>
    <mergeCell ref="C3:F3"/>
    <mergeCell ref="C4:F4"/>
    <mergeCell ref="C5:F5"/>
    <mergeCell ref="C6:F6"/>
  </mergeCells>
  <pageMargins left="0.31496062992125984" right="0" top="0.35433070866141736" bottom="0.35433070866141736" header="0.11811023622047245" footer="0.11811023622047245"/>
  <pageSetup paperSize="9" scale="84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37</vt:i4>
      </vt:variant>
      <vt:variant>
        <vt:lpstr>Именованные диапазоны</vt:lpstr>
      </vt:variant>
      <vt:variant>
        <vt:i4>36</vt:i4>
      </vt:variant>
    </vt:vector>
  </HeadingPairs>
  <TitlesOfParts>
    <vt:vector size="73" baseType="lpstr">
      <vt:lpstr>дц 63</vt:lpstr>
      <vt:lpstr>дц 68 </vt:lpstr>
      <vt:lpstr>дц 68</vt:lpstr>
      <vt:lpstr>дц 73</vt:lpstr>
      <vt:lpstr>дц 73  </vt:lpstr>
      <vt:lpstr>дц 78</vt:lpstr>
      <vt:lpstr>дц 78   </vt:lpstr>
      <vt:lpstr>дц 85</vt:lpstr>
      <vt:lpstr>дц 85    </vt:lpstr>
      <vt:lpstr>дц 95</vt:lpstr>
      <vt:lpstr>дц 95    </vt:lpstr>
      <vt:lpstr>дц +95</vt:lpstr>
      <vt:lpstr>дц +95 </vt:lpstr>
      <vt:lpstr>р 58</vt:lpstr>
      <vt:lpstr>р  58</vt:lpstr>
      <vt:lpstr>р 63</vt:lpstr>
      <vt:lpstr>р  63 </vt:lpstr>
      <vt:lpstr>р 68</vt:lpstr>
      <vt:lpstr>р  68  </vt:lpstr>
      <vt:lpstr>р +68</vt:lpstr>
      <vt:lpstr>р  +68   </vt:lpstr>
      <vt:lpstr>эст ДЦ </vt:lpstr>
      <vt:lpstr>дв 63</vt:lpstr>
      <vt:lpstr>дв 68</vt:lpstr>
      <vt:lpstr>дв  63</vt:lpstr>
      <vt:lpstr>дв 73</vt:lpstr>
      <vt:lpstr>дв 78</vt:lpstr>
      <vt:lpstr>дв 85</vt:lpstr>
      <vt:lpstr>дв  68   </vt:lpstr>
      <vt:lpstr>дв  73    </vt:lpstr>
      <vt:lpstr>дв  78    </vt:lpstr>
      <vt:lpstr>дв  85   </vt:lpstr>
      <vt:lpstr>дв  95   </vt:lpstr>
      <vt:lpstr>дв  +95   </vt:lpstr>
      <vt:lpstr>эстафета ДВ</vt:lpstr>
      <vt:lpstr>команда </vt:lpstr>
      <vt:lpstr>Судьи</vt:lpstr>
      <vt:lpstr>'дв  +95   '!Область_печати</vt:lpstr>
      <vt:lpstr>'дв  63'!Область_печати</vt:lpstr>
      <vt:lpstr>'дв  68   '!Область_печати</vt:lpstr>
      <vt:lpstr>'дв  73    '!Область_печати</vt:lpstr>
      <vt:lpstr>'дв  85   '!Область_печати</vt:lpstr>
      <vt:lpstr>'дв  95   '!Область_печати</vt:lpstr>
      <vt:lpstr>'дв 63'!Область_печати</vt:lpstr>
      <vt:lpstr>'дв 68'!Область_печати</vt:lpstr>
      <vt:lpstr>'дв 73'!Область_печати</vt:lpstr>
      <vt:lpstr>'дв 78'!Область_печати</vt:lpstr>
      <vt:lpstr>'дв 85'!Область_печати</vt:lpstr>
      <vt:lpstr>'дц +95'!Область_печати</vt:lpstr>
      <vt:lpstr>'дц +95 '!Область_печати</vt:lpstr>
      <vt:lpstr>'дц 63'!Область_печати</vt:lpstr>
      <vt:lpstr>'дц 68'!Область_печати</vt:lpstr>
      <vt:lpstr>'дц 68 '!Область_печати</vt:lpstr>
      <vt:lpstr>'дц 73'!Область_печати</vt:lpstr>
      <vt:lpstr>'дц 73  '!Область_печати</vt:lpstr>
      <vt:lpstr>'дц 78'!Область_печати</vt:lpstr>
      <vt:lpstr>'дц 78   '!Область_печати</vt:lpstr>
      <vt:lpstr>'дц 85'!Область_печати</vt:lpstr>
      <vt:lpstr>'дц 85    '!Область_печати</vt:lpstr>
      <vt:lpstr>'дц 95'!Область_печати</vt:lpstr>
      <vt:lpstr>'дц 95    '!Область_печати</vt:lpstr>
      <vt:lpstr>'команда '!Область_печати</vt:lpstr>
      <vt:lpstr>'р  +68   '!Область_печати</vt:lpstr>
      <vt:lpstr>'р  58'!Область_печати</vt:lpstr>
      <vt:lpstr>'р  63 '!Область_печати</vt:lpstr>
      <vt:lpstr>'р  68  '!Область_печати</vt:lpstr>
      <vt:lpstr>'р +68'!Область_печати</vt:lpstr>
      <vt:lpstr>'р 58'!Область_печати</vt:lpstr>
      <vt:lpstr>'р 63'!Область_печати</vt:lpstr>
      <vt:lpstr>'р 68'!Область_печати</vt:lpstr>
      <vt:lpstr>Судьи!Область_печати</vt:lpstr>
      <vt:lpstr>'эст ДЦ '!Область_печати</vt:lpstr>
      <vt:lpstr>'эстафета ДВ'!Область_печати</vt:lpstr>
    </vt:vector>
  </TitlesOfParts>
  <Company>Krokoz™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RePack by Diakov</cp:lastModifiedBy>
  <cp:lastPrinted>2017-06-12T11:07:14Z</cp:lastPrinted>
  <dcterms:created xsi:type="dcterms:W3CDTF">2016-05-22T19:49:23Z</dcterms:created>
  <dcterms:modified xsi:type="dcterms:W3CDTF">2017-06-12T11:08:45Z</dcterms:modified>
</cp:coreProperties>
</file>